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27" firstSheet="5" activeTab="5"/>
  </bookViews>
  <sheets>
    <sheet name="Round100 Primary" sheetId="2" r:id="rId1"/>
    <sheet name="Round120 Continuation" sheetId="3" r:id="rId2"/>
    <sheet name="Model Manifest" sheetId="7" r:id="rId3"/>
    <sheet name="Evaluation Protocol" sheetId="8" r:id="rId4"/>
    <sheet name="Aligned Proxy Diagnostics" sheetId="9" r:id="rId5"/>
    <sheet name="Round100 Pairwise" sheetId="10" r:id="rId6"/>
    <sheet name="External Crossplay" sheetId="11" r:id="rId7"/>
    <sheet name="Shared Partner Crossplay" sheetId="12" r:id="rId8"/>
    <sheet name="Semantic Drift" sheetId="13" r:id="rId9"/>
    <sheet name="Gradient Audit" sheetId="14" r:id="rId10"/>
  </sheets>
  <calcPr calcId="144525"/>
</workbook>
</file>

<file path=xl/sharedStrings.xml><?xml version="1.0" encoding="utf-8"?>
<sst xmlns="http://schemas.openxmlformats.org/spreadsheetml/2006/main" count="1110" uniqueCount="179">
  <si>
    <t>Run</t>
  </si>
  <si>
    <t>Comparison</t>
  </si>
  <si>
    <t>Treatment</t>
  </si>
  <si>
    <t>Reference</t>
  </si>
  <si>
    <t>Deals</t>
  </si>
  <si>
    <t>Evaluation seed</t>
  </si>
  <si>
    <t>Mean IMP/deal</t>
  </si>
  <si>
    <t>Std. dev.</t>
  </si>
  <si>
    <t>Std. error</t>
  </si>
  <si>
    <t>95% CI low</t>
  </si>
  <si>
    <t>95% CI high</t>
  </si>
  <si>
    <t>Wins</t>
  </si>
  <si>
    <t>Losses</t>
  </si>
  <si>
    <t>Ties</t>
  </si>
  <si>
    <t>Interval direction</t>
  </si>
  <si>
    <t>Source JSON</t>
  </si>
  <si>
    <t>TEAM - TASK</t>
  </si>
  <si>
    <t>TEAM</t>
  </si>
  <si>
    <t>TASK</t>
  </si>
  <si>
    <t>results/unified_joint_evaluation_v1/seed42/round100/round_robin.json</t>
  </si>
  <si>
    <t>DUAL - TASK</t>
  </si>
  <si>
    <t>DUAL</t>
  </si>
  <si>
    <t>DAPS - TASK</t>
  </si>
  <si>
    <t>DAPS</t>
  </si>
  <si>
    <t>results/unified_joint_evaluation_v1/seed43/round100/round_robin.json</t>
  </si>
  <si>
    <t>results/unified_joint_evaluation_v1/seed44/round100/round_robin.json</t>
  </si>
  <si>
    <t>results/unified_joint_evaluation_v1/seed42/round120/round_robin.json</t>
  </si>
  <si>
    <t>TEAM - DUAL</t>
  </si>
  <si>
    <t>TEAM - DAPS</t>
  </si>
  <si>
    <t>DUAL - DAPS</t>
  </si>
  <si>
    <t>results/unified_joint_evaluation_v1/seed43/round120/round_robin.json</t>
  </si>
  <si>
    <t>results/unified_joint_evaluation_v1/seed44/round120/round_robin.json</t>
  </si>
  <si>
    <t>Method</t>
  </si>
  <si>
    <t>Historical label</t>
  </si>
  <si>
    <t>Round</t>
  </si>
  <si>
    <t>File name</t>
  </si>
  <si>
    <t>Bytes</t>
  </si>
  <si>
    <t>MiB</t>
  </si>
  <si>
    <t>SHA-256</t>
  </si>
  <si>
    <t>Contents</t>
  </si>
  <si>
    <t>Task-only</t>
  </si>
  <si>
    <t>a</t>
  </si>
  <si>
    <t>seed42_a_round100_actor_only.pt</t>
  </si>
  <si>
    <t>8401CB97A605096672CCB16CE709BE61838B4C9160083BAFE9707BD53DF4F330</t>
  </si>
  <si>
    <t>four actor state dictionaries plus architecture metadata</t>
  </si>
  <si>
    <t>Team-BG</t>
  </si>
  <si>
    <t>b</t>
  </si>
  <si>
    <t>seed42_b_round100_actor_only.pt</t>
  </si>
  <si>
    <t>920B3065407DD74E627F79BDEC469EFD513335A88829C6FB9F16E5E4D479F3AC</t>
  </si>
  <si>
    <t>DUAL-local</t>
  </si>
  <si>
    <t>legacy_c</t>
  </si>
  <si>
    <t>seed42_legacy_c_round100_actor_only.pt</t>
  </si>
  <si>
    <t>085CEA51646F5AA2C4FE9CD344C00C3D4B4625DA3C27C0C5F533DA055790CAFB</t>
  </si>
  <si>
    <t>strict_c</t>
  </si>
  <si>
    <t>seed42_strict_c_round100_actor_only.pt</t>
  </si>
  <si>
    <t>AF9DDA94AC564CF6E445D84A6235C692E10FD4F32EBFE411940F18E692739322</t>
  </si>
  <si>
    <t>seed43_a_round100_actor_only.pt</t>
  </si>
  <si>
    <t>FA46F4AA19BA967ECD1AC90D1004D99218B899FCEEA2CDF29A3ADE5C6A255E40</t>
  </si>
  <si>
    <t>seed43_b_round100_actor_only.pt</t>
  </si>
  <si>
    <t>064064ABE174B678CA7AD3CCA82F0FF594B347F196FBA00F3AB539E9475A7E1F</t>
  </si>
  <si>
    <t>seed43_legacy_c_round100_actor_only.pt</t>
  </si>
  <si>
    <t>D466B1559AC61486ED2DE020155BBCC1D7EA2ADB8887ECCFD56907777FF61600</t>
  </si>
  <si>
    <t>seed43_strict_c_round100_actor_only.pt</t>
  </si>
  <si>
    <t>F63E1D444C96BFE4914B670CBAC79568EAB0C03E7B575D1334E2FE19A2FB6623</t>
  </si>
  <si>
    <t>seed44_a_round100_actor_only.pt</t>
  </si>
  <si>
    <t>C6CFAF4DB78D4A3C54EBF3992F2F689BF01F48632F04FE718AB39B57108A773B</t>
  </si>
  <si>
    <t>seed44_b_round100_actor_only.pt</t>
  </si>
  <si>
    <t>0D71DBC13732673606C053B1FDB74A521B9B9A700FDEBF7BA1AA23EC3FA926D7</t>
  </si>
  <si>
    <t>seed44_legacy_c_round100_actor_only.pt</t>
  </si>
  <si>
    <t>4692EBB44537BA56A371D7950980EE8B511A2D0C0B19D7C801F0C8BB4CE4A96D</t>
  </si>
  <si>
    <t>seed44_strict_c_round100_actor_only.pt</t>
  </si>
  <si>
    <t>02DE8948851E0E28C955350FAAF44BA72BB750B5BFAFFD6C05BBEF3298082A0F</t>
  </si>
  <si>
    <t>Item</t>
  </si>
  <si>
    <t>Current formal task evaluation</t>
  </si>
  <si>
    <t>Evaluator</t>
  </si>
  <si>
    <t>experiments/evaluate_joint_round_robin.py</t>
  </si>
  <si>
    <t>Frozen endpoints</t>
  </si>
  <si>
    <t>Runs 42, 43 and 44; rounds 100 (primary) and 120 (continuation).</t>
  </si>
  <si>
    <t>Common support</t>
  </si>
  <si>
    <t>20,000 unique deals without replacement; all six matrices share identical indices.</t>
  </si>
  <si>
    <t>Pairing</t>
  </si>
  <si>
    <t>Deterministic duplicate matches; direct pairwise contrasts, not differences inferred through a third policy.</t>
  </si>
  <si>
    <t>Uncertainty</t>
  </si>
  <si>
    <t>Paired-deal normal 95% intervals conditional on fixed actors; no algorithm-population inference.</t>
  </si>
  <si>
    <t>Source records</t>
  </si>
  <si>
    <t>results/unified_joint_evaluation_v1/: JSON summaries, deal_indices.npy, deal_level_imps.npz.</t>
  </si>
  <si>
    <t>Scope</t>
  </si>
  <si>
    <t>The small bundled DDS sample is a smoke test only. Exact full-data regeneration requires the original DDS split and frozen actors.</t>
  </si>
  <si>
    <t>Endpoint role</t>
  </si>
  <si>
    <t>Metric</t>
  </si>
  <si>
    <t>Effect orientation</t>
  </si>
  <si>
    <t>Mean</t>
  </si>
  <si>
    <t>Decision</t>
  </si>
  <si>
    <t>Primary endpoint</t>
  </si>
  <si>
    <t>Strict-C</t>
  </si>
  <si>
    <t>teammate_gain</t>
  </si>
  <si>
    <t>DAPS - Task-only</t>
  </si>
  <si>
    <t>Inconclusive</t>
  </si>
  <si>
    <t>results/aligned_proxy_diagnostics/seed42_round100_task_vs_daps_1000.json</t>
  </si>
  <si>
    <t>opponent_gain</t>
  </si>
  <si>
    <t>secrecy_difference</t>
  </si>
  <si>
    <t>Legacy-C</t>
  </si>
  <si>
    <t>DUAL-local - Task-only</t>
  </si>
  <si>
    <t>results/aligned_proxy_diagnostics/seed42_round100_task_vs_dual_1000.json</t>
  </si>
  <si>
    <t>B</t>
  </si>
  <si>
    <t>Team-BG - Task-only</t>
  </si>
  <si>
    <t>Positive</t>
  </si>
  <si>
    <t>results/aligned_proxy_diagnostics/seed42_round100_task_vs_team_1000.json</t>
  </si>
  <si>
    <t>Continuation check</t>
  </si>
  <si>
    <t>results/aligned_proxy_diagnostics/seed42_round120_task_vs_daps_1000.json</t>
  </si>
  <si>
    <t>results/aligned_proxy_diagnostics/seed42_round120_task_vs_dual_1000.json</t>
  </si>
  <si>
    <t>results/aligned_proxy_diagnostics/seed42_round120_task_vs_team_1000.json</t>
  </si>
  <si>
    <t>results/aligned_proxy_diagnostics/seed43_round100_task_vs_daps_1000.json</t>
  </si>
  <si>
    <t>results/aligned_proxy_diagnostics/seed43_round100_task_vs_dual_1000.json</t>
  </si>
  <si>
    <t>results/aligned_proxy_diagnostics/seed43_round100_task_vs_team_1000.json</t>
  </si>
  <si>
    <t>results/aligned_proxy_diagnostics/seed43_round120_task_vs_daps_1000.json</t>
  </si>
  <si>
    <t>results/aligned_proxy_diagnostics/seed43_round120_task_vs_dual_1000.json</t>
  </si>
  <si>
    <t>Negative</t>
  </si>
  <si>
    <t>results/aligned_proxy_diagnostics/seed43_round120_task_vs_team_1000.json</t>
  </si>
  <si>
    <t>results/aligned_proxy_diagnostics/seed44_round100_task_vs_daps_1000.json</t>
  </si>
  <si>
    <t>results/aligned_proxy_diagnostics/seed44_round100_task_vs_dual_1000.json</t>
  </si>
  <si>
    <t>results/aligned_proxy_diagnostics/seed44_round100_task_vs_team_1000.json</t>
  </si>
  <si>
    <t>results/aligned_proxy_diagnostics/seed44_round120_task_vs_daps_1000.json</t>
  </si>
  <si>
    <t>results/aligned_proxy_diagnostics/seed44_round120_task_vs_dual_1000.json</t>
  </si>
  <si>
    <t>results/aligned_proxy_diagnostics/seed44_round120_task_vs_team_1000.json</t>
  </si>
  <si>
    <t>TASK - BRL-FSP</t>
  </si>
  <si>
    <t>BRL-FSP</t>
  </si>
  <si>
    <t>results/round100_vs_brl_fsp_v2/seed42/round100_vs_brl_fsp.json</t>
  </si>
  <si>
    <t>TEAM - BRL-FSP</t>
  </si>
  <si>
    <t>DUAL - BRL-FSP</t>
  </si>
  <si>
    <t>DAPS - BRL-FSP</t>
  </si>
  <si>
    <t>results/round100_vs_brl_fsp_v2/seed43/round100_vs_brl_fsp.json</t>
  </si>
  <si>
    <t>results/round100_vs_brl_fsp_v2/seed44/round100_vs_brl_fsp.json</t>
  </si>
  <si>
    <t>DAPS+SL - BRL-FSP+SL</t>
  </si>
  <si>
    <t>DAPS+SL</t>
  </si>
  <si>
    <t>BRL-FSP+SL</t>
  </si>
  <si>
    <t>results/daps_sl_vs_brl_sl_crossplay_v1/run42/crossplay.json</t>
  </si>
  <si>
    <t>DAPS+SL (focal_first) - BRL-FSP+SL</t>
  </si>
  <si>
    <t>DAPS+SL (focal_first)</t>
  </si>
  <si>
    <t>DAPS+SL (focal_second) - BRL-FSP+SL</t>
  </si>
  <si>
    <t>DAPS+SL (focal_second)</t>
  </si>
  <si>
    <t>results/daps_sl_vs_brl_sl_crossplay_v1/run43/crossplay.json</t>
  </si>
  <si>
    <t>results/daps_sl_vs_brl_sl_crossplay_v1/run44/crossplay.json</t>
  </si>
  <si>
    <t>DAPS+SL - SL+SL</t>
  </si>
  <si>
    <t>SL+SL</t>
  </si>
  <si>
    <t>results/daps_sl_vs_sl_sl_crossplay_v1/run42/crossplay.json</t>
  </si>
  <si>
    <t>DAPS+SL (daps_first) - SL+SL</t>
  </si>
  <si>
    <t>DAPS+SL (daps_first)</t>
  </si>
  <si>
    <t>DAPS+SL (daps_second) - SL+SL</t>
  </si>
  <si>
    <t>DAPS+SL (daps_second)</t>
  </si>
  <si>
    <t>results/daps_sl_vs_sl_sl_crossplay_v1/run43/crossplay.json</t>
  </si>
  <si>
    <t>results/daps_sl_vs_sl_sl_crossplay_v1/run44/crossplay.json</t>
  </si>
  <si>
    <t>Shared SL</t>
  </si>
  <si>
    <t>SL+SL - BRL-FSP+SL</t>
  </si>
  <si>
    <t>results/sl_lineage_brl_crossplay_ladder_v1/sl/crossplay.json</t>
  </si>
  <si>
    <t>SL+SL (focal_first) - BRL-FSP+SL</t>
  </si>
  <si>
    <t>SL+SL (focal_first)</t>
  </si>
  <si>
    <t>SL+SL (focal_second) - BRL-FSP+SL</t>
  </si>
  <si>
    <t>SL+SL (focal_second)</t>
  </si>
  <si>
    <t>Metric: treatment minus TASK</t>
  </si>
  <si>
    <t>Difference</t>
  </si>
  <si>
    <t>All legal states</t>
  </si>
  <si>
    <t>reference_to_trained_kl_mean</t>
  </si>
  <si>
    <t>Common SL states</t>
  </si>
  <si>
    <t>results/round100_semantic_drift_audit_v1/semantic_drift_audit.json</t>
  </si>
  <si>
    <t>total_variation_mean</t>
  </si>
  <si>
    <t>top_action_disagreement_rate</t>
  </si>
  <si>
    <t>Low-HCP opening contract-call rate (HCP &lt;= 7)</t>
  </si>
  <si>
    <t>Frozen screen; descriptive</t>
  </si>
  <si>
    <t>Frozen TASK run</t>
  </si>
  <si>
    <t>Actor role</t>
  </si>
  <si>
    <t>Reward</t>
  </si>
  <si>
    <t>Task norm</t>
  </si>
  <si>
    <t>Increment norm</t>
  </si>
  <si>
    <t>Norm ratio</t>
  </si>
  <si>
    <t>Cosine with task</t>
  </si>
  <si>
    <t>Diagnostic seed</t>
  </si>
  <si>
    <t>Batch deals</t>
  </si>
  <si>
    <t>results/a100_actor_only_mc_batch1024.json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</si>
</sst>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00"/>
    <numFmt numFmtId="177" formatCode="0.000000"/>
    <numFmt numFmtId="41" formatCode="_ * #,##0_ ;_ * \-#,##0_ ;_ * &quot;-&quot;_ ;_ @_ "/>
    <numFmt numFmtId="178" formatCode="0.0000;[Red]\-0.0000;0.0000"/>
    <numFmt numFmtId="179" formatCode="0.00000"/>
  </numFmts>
  <fonts count="25">
    <font>
      <sz val="11"/>
      <name val="Carlito"/>
      <charset val="134"/>
    </font>
    <font>
      <b/>
      <sz val="11"/>
      <color rgb="FF17365D"/>
      <name val="Arial"/>
      <charset val="134"/>
    </font>
    <font>
      <sz val="11"/>
      <color rgb="FF172B4D"/>
      <name val="Arial"/>
      <charset val="134"/>
    </font>
    <font>
      <b/>
      <sz val="11"/>
      <color rgb="FF17365D"/>
      <name val="Carlito"/>
      <charset val="134"/>
    </font>
    <font>
      <b/>
      <sz val="10"/>
      <color rgb="FF17365D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b/>
      <sz val="11"/>
      <color rgb="FFFFFFFF"/>
      <name val="Calibri"/>
      <charset val="134"/>
    </font>
    <font>
      <b/>
      <sz val="11"/>
      <color theme="3"/>
      <name val="Calibri"/>
      <charset val="134"/>
    </font>
    <font>
      <sz val="11"/>
      <color rgb="FF9C0006"/>
      <name val="Calibri"/>
      <charset val="134"/>
    </font>
    <font>
      <b/>
      <sz val="11"/>
      <color rgb="FF3F3F3F"/>
      <name val="Calibri"/>
      <charset val="134"/>
    </font>
    <font>
      <b/>
      <sz val="15"/>
      <color theme="3"/>
      <name val="Calibri"/>
      <charset val="134"/>
    </font>
    <font>
      <sz val="11"/>
      <color rgb="FF3F3F76"/>
      <name val="Calibri"/>
      <charset val="134"/>
    </font>
    <font>
      <sz val="11"/>
      <color rgb="FF00610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b/>
      <sz val="11"/>
      <color theme="1"/>
      <name val="Calibri"/>
      <charset val="134"/>
    </font>
    <font>
      <i/>
      <sz val="11"/>
      <color rgb="FF7F7F7F"/>
      <name val="Calibri"/>
      <charset val="134"/>
    </font>
    <font>
      <sz val="11"/>
      <color rgb="FFFA7D00"/>
      <name val="Calibri"/>
      <charset val="134"/>
    </font>
    <font>
      <b/>
      <sz val="13"/>
      <color theme="3"/>
      <name val="Calibri"/>
      <charset val="134"/>
    </font>
    <font>
      <sz val="11"/>
      <color rgb="FF9C6500"/>
      <name val="Calibri"/>
      <charset val="134"/>
    </font>
    <font>
      <b/>
      <sz val="11"/>
      <color rgb="FFFA7D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rgb="FFB4C7E7"/>
      </top>
      <bottom style="thin">
        <color rgb="FFB4C7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/>
      <right/>
      <top style="thin">
        <color rgb="FFD9E2F3"/>
      </top>
      <bottom/>
      <diagonal/>
    </border>
    <border>
      <left style="thin">
        <color rgb="FFB8C4D1"/>
      </left>
      <right/>
      <top style="thin">
        <color rgb="FFB8C4D1"/>
      </top>
      <bottom style="thin">
        <color rgb="FFB8C4D1"/>
      </bottom>
      <diagonal/>
    </border>
    <border>
      <left/>
      <right/>
      <top style="thin">
        <color rgb="FFB8C4D1"/>
      </top>
      <bottom style="thin">
        <color rgb="FFB8C4D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B8C4D1"/>
      </right>
      <top style="thin">
        <color rgb="FFB8C4D1"/>
      </top>
      <bottom style="thin">
        <color rgb="FFB8C4D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20" borderId="1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6" borderId="19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14" borderId="16" applyNumberFormat="0" applyAlignment="0" applyProtection="0">
      <alignment vertical="center"/>
    </xf>
    <xf numFmtId="0" fontId="24" fillId="14" borderId="18" applyNumberFormat="0" applyAlignment="0" applyProtection="0">
      <alignment vertical="center"/>
    </xf>
    <xf numFmtId="0" fontId="8" fillId="7" borderId="14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49"/>
    <xf numFmtId="0" fontId="1" fillId="2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  <xf numFmtId="177" fontId="2" fillId="3" borderId="1" xfId="0" applyNumberFormat="1" applyFont="1" applyFill="1" applyBorder="1" applyAlignment="1">
      <alignment vertical="center" wrapText="1"/>
    </xf>
    <xf numFmtId="10" fontId="2" fillId="3" borderId="1" xfId="0" applyNumberFormat="1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  <xf numFmtId="178" fontId="2" fillId="3" borderId="1" xfId="0" applyNumberFormat="1" applyFont="1" applyFill="1" applyBorder="1" applyAlignment="1">
      <alignment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1" fontId="0" fillId="3" borderId="2" xfId="0" applyNumberFormat="1" applyFont="1" applyFill="1" applyBorder="1" applyAlignment="1">
      <alignment vertical="center"/>
    </xf>
    <xf numFmtId="0" fontId="0" fillId="3" borderId="2" xfId="0" applyNumberFormat="1" applyFont="1" applyFill="1" applyBorder="1" applyAlignment="1">
      <alignment vertical="center"/>
    </xf>
    <xf numFmtId="179" fontId="0" fillId="3" borderId="2" xfId="0" applyNumberFormat="1" applyFont="1" applyFill="1" applyBorder="1" applyAlignment="1">
      <alignment vertical="center"/>
    </xf>
    <xf numFmtId="0" fontId="0" fillId="3" borderId="0" xfId="49" applyFill="1"/>
    <xf numFmtId="0" fontId="1" fillId="4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horizontal="right" vertical="center" wrapText="1"/>
    </xf>
    <xf numFmtId="0" fontId="5" fillId="0" borderId="4" xfId="0" applyNumberFormat="1" applyFont="1" applyFill="1" applyBorder="1" applyAlignment="1">
      <alignment vertical="center"/>
    </xf>
    <xf numFmtId="1" fontId="5" fillId="0" borderId="4" xfId="0" applyNumberFormat="1" applyFont="1" applyFill="1" applyBorder="1" applyAlignment="1">
      <alignment horizontal="right" vertical="center"/>
    </xf>
    <xf numFmtId="0" fontId="5" fillId="0" borderId="5" xfId="0" applyNumberFormat="1" applyFont="1" applyFill="1" applyBorder="1" applyAlignment="1">
      <alignment vertical="center"/>
    </xf>
    <xf numFmtId="1" fontId="5" fillId="0" borderId="5" xfId="0" applyNumberFormat="1" applyFont="1" applyFill="1" applyBorder="1" applyAlignment="1">
      <alignment horizontal="right" vertical="center"/>
    </xf>
    <xf numFmtId="179" fontId="5" fillId="0" borderId="4" xfId="0" applyNumberFormat="1" applyFont="1" applyFill="1" applyBorder="1" applyAlignment="1">
      <alignment horizontal="right" vertical="center"/>
    </xf>
    <xf numFmtId="179" fontId="5" fillId="0" borderId="5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vertical="center" wrapText="1"/>
    </xf>
    <xf numFmtId="0" fontId="5" fillId="0" borderId="4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vertical="center" wrapText="1"/>
    </xf>
    <xf numFmtId="1" fontId="5" fillId="0" borderId="7" xfId="0" applyNumberFormat="1" applyFont="1" applyFill="1" applyBorder="1" applyAlignment="1">
      <alignment horizontal="right" vertical="center"/>
    </xf>
    <xf numFmtId="0" fontId="5" fillId="0" borderId="7" xfId="0" applyNumberFormat="1" applyFont="1" applyFill="1" applyBorder="1" applyAlignment="1">
      <alignment vertical="center"/>
    </xf>
    <xf numFmtId="179" fontId="5" fillId="0" borderId="7" xfId="0" applyNumberFormat="1" applyFont="1" applyFill="1" applyBorder="1" applyAlignment="1">
      <alignment horizontal="right" vertical="center"/>
    </xf>
    <xf numFmtId="0" fontId="5" fillId="0" borderId="7" xfId="0" applyNumberFormat="1" applyFont="1" applyFill="1" applyBorder="1" applyAlignment="1">
      <alignment vertical="center" wrapText="1"/>
    </xf>
    <xf numFmtId="0" fontId="3" fillId="2" borderId="8" xfId="49" applyNumberFormat="1" applyFont="1" applyFill="1" applyBorder="1" applyAlignment="1">
      <alignment vertical="center" wrapText="1"/>
    </xf>
    <xf numFmtId="0" fontId="3" fillId="2" borderId="9" xfId="49" applyNumberFormat="1" applyFont="1" applyFill="1" applyBorder="1" applyAlignment="1">
      <alignment vertical="center" wrapText="1"/>
    </xf>
    <xf numFmtId="0" fontId="0" fillId="0" borderId="10" xfId="49" applyNumberFormat="1" applyFont="1" applyFill="1" applyBorder="1" applyAlignment="1">
      <alignment vertical="center"/>
    </xf>
    <xf numFmtId="3" fontId="0" fillId="0" borderId="10" xfId="49" applyNumberFormat="1" applyFont="1" applyFill="1" applyBorder="1" applyAlignment="1">
      <alignment vertical="center"/>
    </xf>
    <xf numFmtId="2" fontId="0" fillId="0" borderId="10" xfId="49" applyNumberFormat="1" applyFont="1" applyFill="1" applyBorder="1" applyAlignment="1">
      <alignment vertical="center"/>
    </xf>
    <xf numFmtId="0" fontId="0" fillId="0" borderId="11" xfId="49" applyNumberFormat="1" applyFont="1" applyFill="1" applyBorder="1" applyAlignment="1">
      <alignment vertical="center"/>
    </xf>
    <xf numFmtId="3" fontId="0" fillId="0" borderId="11" xfId="49" applyNumberFormat="1" applyFont="1" applyFill="1" applyBorder="1" applyAlignment="1">
      <alignment vertical="center"/>
    </xf>
    <xf numFmtId="2" fontId="0" fillId="0" borderId="11" xfId="49" applyNumberFormat="1" applyFont="1" applyFill="1" applyBorder="1" applyAlignment="1">
      <alignment vertical="center"/>
    </xf>
    <xf numFmtId="0" fontId="0" fillId="0" borderId="12" xfId="49" applyNumberFormat="1" applyFont="1" applyFill="1" applyBorder="1" applyAlignment="1">
      <alignment vertical="center"/>
    </xf>
    <xf numFmtId="3" fontId="0" fillId="0" borderId="12" xfId="49" applyNumberFormat="1" applyFont="1" applyFill="1" applyBorder="1" applyAlignment="1">
      <alignment vertical="center"/>
    </xf>
    <xf numFmtId="2" fontId="0" fillId="0" borderId="12" xfId="49" applyNumberFormat="1" applyFont="1" applyFill="1" applyBorder="1" applyAlignment="1">
      <alignment vertical="center"/>
    </xf>
    <xf numFmtId="0" fontId="3" fillId="2" borderId="13" xfId="49" applyNumberFormat="1" applyFont="1" applyFill="1" applyBorder="1" applyAlignment="1">
      <alignment vertical="center" wrapText="1"/>
    </xf>
    <xf numFmtId="179" fontId="0" fillId="0" borderId="10" xfId="49" applyNumberFormat="1" applyFont="1" applyFill="1" applyBorder="1" applyAlignment="1">
      <alignment vertical="center"/>
    </xf>
    <xf numFmtId="179" fontId="0" fillId="0" borderId="11" xfId="49" applyNumberFormat="1" applyFont="1" applyFill="1" applyBorder="1" applyAlignment="1">
      <alignment vertical="center"/>
    </xf>
    <xf numFmtId="179" fontId="0" fillId="0" borderId="12" xfId="49" applyNumberFormat="1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25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i val="1"/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Round100Primary" displayName="Round100Primary" ref="A1:P10" totalsRowShown="0">
  <tableColumns count="16">
    <tableColumn id="1" name="Run" dataDxfId="0"/>
    <tableColumn id="2" name="Comparison" dataDxfId="1"/>
    <tableColumn id="3" name="Treatment" dataDxfId="2"/>
    <tableColumn id="4" name="Reference" dataDxfId="3"/>
    <tableColumn id="5" name="Deals" dataDxfId="4"/>
    <tableColumn id="6" name="Evaluation seed" dataDxfId="5"/>
    <tableColumn id="7" name="Mean IMP/deal" dataDxfId="6"/>
    <tableColumn id="8" name="Std. dev." dataDxfId="7"/>
    <tableColumn id="9" name="Std. error" dataDxfId="8"/>
    <tableColumn id="10" name="95% CI low" dataDxfId="9"/>
    <tableColumn id="11" name="95% CI high" dataDxfId="10"/>
    <tableColumn id="12" name="Wins" dataDxfId="11"/>
    <tableColumn id="13" name="Losses" dataDxfId="12"/>
    <tableColumn id="14" name="Ties" dataDxfId="13"/>
    <tableColumn id="15" name="Interval direction" dataDxfId="14"/>
    <tableColumn id="16" name="Source JSO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Round120Continuation" displayName="Round120Continuation" ref="A1:P19" totalsRowShown="0">
  <tableColumns count="16">
    <tableColumn id="1" name="Run" dataDxfId="20"/>
    <tableColumn id="2" name="Comparison" dataDxfId="21"/>
    <tableColumn id="3" name="Treatment" dataDxfId="22"/>
    <tableColumn id="4" name="Reference" dataDxfId="23"/>
    <tableColumn id="5" name="Deals" dataDxfId="24"/>
    <tableColumn id="6" name="Evaluation seed" dataDxfId="25"/>
    <tableColumn id="7" name="Mean IMP/deal" dataDxfId="26"/>
    <tableColumn id="8" name="Std. dev." dataDxfId="27"/>
    <tableColumn id="9" name="Std. error" dataDxfId="28"/>
    <tableColumn id="10" name="95% CI low" dataDxfId="29"/>
    <tableColumn id="11" name="95% CI high" dataDxfId="30"/>
    <tableColumn id="12" name="Wins" dataDxfId="31"/>
    <tableColumn id="13" name="Losses" dataDxfId="32"/>
    <tableColumn id="14" name="Ties" dataDxfId="33"/>
    <tableColumn id="15" name="Interval direction" dataDxfId="34"/>
    <tableColumn id="16" name="Source JSON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9" name="EvaluationProtocol" displayName="EvaluationProtocol" ref="A1:B9" totalsRowShown="0">
  <tableColumns count="2">
    <tableColumn id="1" name="Item" dataDxfId="36"/>
    <tableColumn id="2" name="Current formal task evaluation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AlignedProxyDiagnosticsTable" displayName="AlignedProxyDiagnosticsTable" ref="A1:Q55" totalsRowShown="0">
  <tableColumns count="17">
    <tableColumn id="1" name="Seed" dataDxfId="40"/>
    <tableColumn id="2" name="Round" dataDxfId="41"/>
    <tableColumn id="3" name="Endpoint role" dataDxfId="42"/>
    <tableColumn id="4" name="Treatment" dataDxfId="43"/>
    <tableColumn id="5" name="Historical label" dataDxfId="44"/>
    <tableColumn id="6" name="Reference" dataDxfId="45"/>
    <tableColumn id="7" name="Metric" dataDxfId="46"/>
    <tableColumn id="8" name="Effect orientation" dataDxfId="47"/>
    <tableColumn id="9" name="Deals" dataDxfId="48"/>
    <tableColumn id="10" name="Evaluation seed" dataDxfId="49"/>
    <tableColumn id="11" name="Mean" dataDxfId="50"/>
    <tableColumn id="12" name="Std. dev." dataDxfId="51"/>
    <tableColumn id="13" name="Std. error" dataDxfId="52"/>
    <tableColumn id="14" name="95% CI low" dataDxfId="53"/>
    <tableColumn id="15" name="95% CI high" dataDxfId="54"/>
    <tableColumn id="16" name="Decision" dataDxfId="55"/>
    <tableColumn id="17" name="Source JSON" dataDxfId="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Round100Pairwise" displayName="Round100Pairwise" ref="A1:P19" totalsRowShown="0">
  <tableColumns count="16">
    <tableColumn id="1" name="Run" dataDxfId="57"/>
    <tableColumn id="2" name="Comparison" dataDxfId="58"/>
    <tableColumn id="3" name="Treatment" dataDxfId="59"/>
    <tableColumn id="4" name="Reference" dataDxfId="60"/>
    <tableColumn id="5" name="Deals" dataDxfId="61"/>
    <tableColumn id="6" name="Evaluation seed" dataDxfId="62"/>
    <tableColumn id="7" name="Mean IMP/deal" dataDxfId="63"/>
    <tableColumn id="8" name="Std. dev." dataDxfId="64"/>
    <tableColumn id="9" name="Std. error" dataDxfId="65"/>
    <tableColumn id="10" name="95% CI low" dataDxfId="66"/>
    <tableColumn id="11" name="95% CI high" dataDxfId="67"/>
    <tableColumn id="12" name="Wins" dataDxfId="68"/>
    <tableColumn id="13" name="Losses" dataDxfId="69"/>
    <tableColumn id="14" name="Ties" dataDxfId="70"/>
    <tableColumn id="15" name="Interval direction" dataDxfId="71"/>
    <tableColumn id="16" name="Source JSON" dataDxfId="7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ExternalCrossplay" displayName="ExternalCrossplay" ref="A1:P13" totalsRowShown="0">
  <tableColumns count="16">
    <tableColumn id="1" name="Run" dataDxfId="73"/>
    <tableColumn id="2" name="Comparison" dataDxfId="74"/>
    <tableColumn id="3" name="Treatment" dataDxfId="75"/>
    <tableColumn id="4" name="Reference" dataDxfId="76"/>
    <tableColumn id="5" name="Deals" dataDxfId="77"/>
    <tableColumn id="6" name="Evaluation seed" dataDxfId="78"/>
    <tableColumn id="7" name="Mean IMP/deal" dataDxfId="79"/>
    <tableColumn id="8" name="Std. dev." dataDxfId="80"/>
    <tableColumn id="9" name="Std. error" dataDxfId="81"/>
    <tableColumn id="10" name="95% CI low" dataDxfId="82"/>
    <tableColumn id="11" name="95% CI high" dataDxfId="83"/>
    <tableColumn id="12" name="Wins" dataDxfId="84"/>
    <tableColumn id="13" name="Losses" dataDxfId="85"/>
    <tableColumn id="14" name="Ties" dataDxfId="86"/>
    <tableColumn id="15" name="Interval direction" dataDxfId="87"/>
    <tableColumn id="16" name="Source JSON" dataDxfId="8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SharedPartnerCrossplay" displayName="SharedPartnerCrossplay" ref="A1:P22" totalsRowShown="0">
  <tableColumns count="16">
    <tableColumn id="1" name="Run" dataDxfId="89"/>
    <tableColumn id="2" name="Comparison" dataDxfId="90"/>
    <tableColumn id="3" name="Treatment" dataDxfId="91"/>
    <tableColumn id="4" name="Reference" dataDxfId="92"/>
    <tableColumn id="5" name="Deals" dataDxfId="93"/>
    <tableColumn id="6" name="Evaluation seed" dataDxfId="94"/>
    <tableColumn id="7" name="Mean IMP/deal" dataDxfId="95"/>
    <tableColumn id="8" name="Std. dev." dataDxfId="96"/>
    <tableColumn id="9" name="Std. error" dataDxfId="97"/>
    <tableColumn id="10" name="95% CI low" dataDxfId="98"/>
    <tableColumn id="11" name="95% CI high" dataDxfId="99"/>
    <tableColumn id="12" name="Wins" dataDxfId="100"/>
    <tableColumn id="13" name="Losses" dataDxfId="101"/>
    <tableColumn id="14" name="Ties" dataDxfId="102"/>
    <tableColumn id="15" name="Interval direction" dataDxfId="103"/>
    <tableColumn id="16" name="Source JSON" dataDxfId="10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SemanticDrift" displayName="SemanticDrift" ref="A1:I37" totalsRowShown="0">
  <tableColumns count="9">
    <tableColumn id="1" name="Run" dataDxfId="105"/>
    <tableColumn id="2" name="Treatment" dataDxfId="106"/>
    <tableColumn id="3" name="Metric: treatment minus TASK" dataDxfId="107"/>
    <tableColumn id="4" name="Difference" dataDxfId="108"/>
    <tableColumn id="5" name="Deals" dataDxfId="109"/>
    <tableColumn id="6" name="All legal states" dataDxfId="110"/>
    <tableColumn id="7" name="Evaluation seed" dataDxfId="111"/>
    <tableColumn id="8" name="Scope" dataDxfId="112"/>
    <tableColumn id="9" name="Source JSON" dataDxfId="1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GradientAudit" displayName="GradientAudit" ref="A1:K9" totalsRowShown="0">
  <tableColumns count="11">
    <tableColumn id="1" name="Frozen TASK run" dataDxfId="114"/>
    <tableColumn id="2" name="Round" dataDxfId="115"/>
    <tableColumn id="3" name="Actor role" dataDxfId="116"/>
    <tableColumn id="4" name="Reward" dataDxfId="117"/>
    <tableColumn id="5" name="Task norm" dataDxfId="118"/>
    <tableColumn id="6" name="Increment norm" dataDxfId="119"/>
    <tableColumn id="7" name="Norm ratio" dataDxfId="120"/>
    <tableColumn id="8" name="Cosine with task" dataDxfId="121"/>
    <tableColumn id="9" name="Diagnostic seed" dataDxfId="122"/>
    <tableColumn id="10" name="Batch deals" dataDxfId="123"/>
    <tableColumn id="11" name="Source JSON" dataDxfId="1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showGridLines="0" workbookViewId="0">
      <selection activeCell="A1" sqref="A1:P10"/>
    </sheetView>
  </sheetViews>
  <sheetFormatPr defaultColWidth="9" defaultRowHeight="13.8"/>
  <cols>
    <col min="1" max="1" width="9.33333333333333" customWidth="1"/>
    <col min="2" max="2" width="34.6666666666667" customWidth="1"/>
    <col min="3" max="3" width="22" customWidth="1"/>
    <col min="4" max="4" width="20" customWidth="1"/>
    <col min="5" max="5" width="11.3333333333333" customWidth="1"/>
    <col min="6" max="6" width="17.3333333333333" customWidth="1"/>
    <col min="7" max="7" width="15.3333333333333" customWidth="1"/>
    <col min="8" max="8" width="13.3333333333333" customWidth="1"/>
    <col min="9" max="9" width="14" customWidth="1"/>
    <col min="10" max="11" width="14.6666666666667" customWidth="1"/>
    <col min="12" max="14" width="11.3333333333333" customWidth="1"/>
    <col min="15" max="15" width="17.3333333333333" customWidth="1"/>
    <col min="16" max="16" width="64" customWidth="1"/>
  </cols>
  <sheetData>
    <row r="1" ht="44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 spans="1:16">
      <c r="A2" s="7">
        <v>42</v>
      </c>
      <c r="B2" s="2" t="s">
        <v>16</v>
      </c>
      <c r="C2" s="2" t="s">
        <v>17</v>
      </c>
      <c r="D2" s="2" t="s">
        <v>18</v>
      </c>
      <c r="E2" s="7">
        <v>20000</v>
      </c>
      <c r="F2" s="7">
        <v>1611583527</v>
      </c>
      <c r="G2" s="6">
        <v>0.1005</v>
      </c>
      <c r="H2" s="6">
        <v>5.62597390050082</v>
      </c>
      <c r="I2" s="6">
        <f t="shared" ref="I2:I10" si="0">H2/SQRT(E2)</f>
        <v>0.0397816429582266</v>
      </c>
      <c r="J2" s="6">
        <f t="shared" ref="J2:J10" si="1">G2-1.96*I2</f>
        <v>0.0225279798018758</v>
      </c>
      <c r="K2" s="6">
        <f t="shared" ref="K2:K10" si="2">G2+1.96*I2</f>
        <v>0.178472020198124</v>
      </c>
      <c r="L2" s="7">
        <v>4741</v>
      </c>
      <c r="M2" s="7">
        <v>4621</v>
      </c>
      <c r="N2" s="7">
        <v>10638</v>
      </c>
      <c r="O2" s="2" t="str">
        <f t="shared" ref="O2:O10" si="3">IF(J2&gt;0,"Positive",IF(K2&lt;0,"Negative","Includes zero"))</f>
        <v>Positive</v>
      </c>
      <c r="P2" s="2" t="s">
        <v>19</v>
      </c>
    </row>
    <row r="3" ht="30" customHeight="1" spans="1:16">
      <c r="A3" s="7">
        <v>42</v>
      </c>
      <c r="B3" s="2" t="s">
        <v>20</v>
      </c>
      <c r="C3" s="2" t="s">
        <v>21</v>
      </c>
      <c r="D3" s="2" t="s">
        <v>18</v>
      </c>
      <c r="E3" s="7">
        <v>20000</v>
      </c>
      <c r="F3" s="7">
        <v>1611583527</v>
      </c>
      <c r="G3" s="6">
        <v>0.14695</v>
      </c>
      <c r="H3" s="6">
        <v>5.66342294160261</v>
      </c>
      <c r="I3" s="6">
        <f t="shared" si="0"/>
        <v>0.0400464476673467</v>
      </c>
      <c r="J3" s="6">
        <f t="shared" si="1"/>
        <v>0.0684589625720004</v>
      </c>
      <c r="K3" s="6">
        <f t="shared" si="2"/>
        <v>0.225441037428</v>
      </c>
      <c r="L3" s="7">
        <v>4782</v>
      </c>
      <c r="M3" s="7">
        <v>4594</v>
      </c>
      <c r="N3" s="7">
        <v>10624</v>
      </c>
      <c r="O3" s="2" t="str">
        <f t="shared" si="3"/>
        <v>Positive</v>
      </c>
      <c r="P3" s="2" t="s">
        <v>19</v>
      </c>
    </row>
    <row r="4" ht="30" customHeight="1" spans="1:16">
      <c r="A4" s="7">
        <v>42</v>
      </c>
      <c r="B4" s="2" t="s">
        <v>22</v>
      </c>
      <c r="C4" s="2" t="s">
        <v>23</v>
      </c>
      <c r="D4" s="2" t="s">
        <v>18</v>
      </c>
      <c r="E4" s="7">
        <v>20000</v>
      </c>
      <c r="F4" s="7">
        <v>1611583527</v>
      </c>
      <c r="G4" s="6">
        <v>0.18855</v>
      </c>
      <c r="H4" s="6">
        <v>5.65813570202069</v>
      </c>
      <c r="I4" s="6">
        <f t="shared" si="0"/>
        <v>0.0400090612377253</v>
      </c>
      <c r="J4" s="6">
        <f t="shared" si="1"/>
        <v>0.110132239974058</v>
      </c>
      <c r="K4" s="6">
        <f t="shared" si="2"/>
        <v>0.266967760025942</v>
      </c>
      <c r="L4" s="7">
        <v>4799</v>
      </c>
      <c r="M4" s="7">
        <v>4527</v>
      </c>
      <c r="N4" s="7">
        <v>10674</v>
      </c>
      <c r="O4" s="2" t="str">
        <f t="shared" si="3"/>
        <v>Positive</v>
      </c>
      <c r="P4" s="2" t="s">
        <v>19</v>
      </c>
    </row>
    <row r="5" ht="30" customHeight="1" spans="1:16">
      <c r="A5" s="7">
        <v>43</v>
      </c>
      <c r="B5" s="2" t="s">
        <v>16</v>
      </c>
      <c r="C5" s="2" t="s">
        <v>17</v>
      </c>
      <c r="D5" s="2" t="s">
        <v>18</v>
      </c>
      <c r="E5" s="7">
        <v>20000</v>
      </c>
      <c r="F5" s="7">
        <v>1611583527</v>
      </c>
      <c r="G5" s="6">
        <v>0.0276</v>
      </c>
      <c r="H5" s="6">
        <v>5.63218645964565</v>
      </c>
      <c r="I5" s="6">
        <f t="shared" si="0"/>
        <v>0.0398255723852249</v>
      </c>
      <c r="J5" s="6">
        <f t="shared" si="1"/>
        <v>-0.0504581218750409</v>
      </c>
      <c r="K5" s="6">
        <f t="shared" si="2"/>
        <v>0.105658121875041</v>
      </c>
      <c r="L5" s="7">
        <v>4598</v>
      </c>
      <c r="M5" s="7">
        <v>4577</v>
      </c>
      <c r="N5" s="7">
        <v>10825</v>
      </c>
      <c r="O5" s="2" t="str">
        <f t="shared" si="3"/>
        <v>Includes zero</v>
      </c>
      <c r="P5" s="2" t="s">
        <v>24</v>
      </c>
    </row>
    <row r="6" ht="30" customHeight="1" spans="1:16">
      <c r="A6" s="7">
        <v>43</v>
      </c>
      <c r="B6" s="2" t="s">
        <v>20</v>
      </c>
      <c r="C6" s="2" t="s">
        <v>21</v>
      </c>
      <c r="D6" s="2" t="s">
        <v>18</v>
      </c>
      <c r="E6" s="7">
        <v>20000</v>
      </c>
      <c r="F6" s="7">
        <v>1611583527</v>
      </c>
      <c r="G6" s="6">
        <v>0.1286</v>
      </c>
      <c r="H6" s="6">
        <v>5.61164294719722</v>
      </c>
      <c r="I6" s="6">
        <f t="shared" si="0"/>
        <v>0.0396803078156082</v>
      </c>
      <c r="J6" s="6">
        <f t="shared" si="1"/>
        <v>0.0508265966814079</v>
      </c>
      <c r="K6" s="6">
        <f t="shared" si="2"/>
        <v>0.206373403318592</v>
      </c>
      <c r="L6" s="7">
        <v>4725</v>
      </c>
      <c r="M6" s="7">
        <v>4490</v>
      </c>
      <c r="N6" s="7">
        <v>10785</v>
      </c>
      <c r="O6" s="2" t="str">
        <f t="shared" si="3"/>
        <v>Positive</v>
      </c>
      <c r="P6" s="2" t="s">
        <v>24</v>
      </c>
    </row>
    <row r="7" ht="30" customHeight="1" spans="1:16">
      <c r="A7" s="7">
        <v>43</v>
      </c>
      <c r="B7" s="2" t="s">
        <v>22</v>
      </c>
      <c r="C7" s="2" t="s">
        <v>23</v>
      </c>
      <c r="D7" s="2" t="s">
        <v>18</v>
      </c>
      <c r="E7" s="7">
        <v>20000</v>
      </c>
      <c r="F7" s="7">
        <v>1611583527</v>
      </c>
      <c r="G7" s="6">
        <v>0.07935</v>
      </c>
      <c r="H7" s="6">
        <v>5.55709435248153</v>
      </c>
      <c r="I7" s="6">
        <f t="shared" si="0"/>
        <v>0.0392945910033316</v>
      </c>
      <c r="J7" s="6">
        <f t="shared" si="1"/>
        <v>0.00233260163347014</v>
      </c>
      <c r="K7" s="6">
        <f t="shared" si="2"/>
        <v>0.15636739836653</v>
      </c>
      <c r="L7" s="7">
        <v>4574</v>
      </c>
      <c r="M7" s="7">
        <v>4476</v>
      </c>
      <c r="N7" s="7">
        <v>10950</v>
      </c>
      <c r="O7" s="2" t="str">
        <f t="shared" si="3"/>
        <v>Positive</v>
      </c>
      <c r="P7" s="2" t="s">
        <v>24</v>
      </c>
    </row>
    <row r="8" ht="30" customHeight="1" spans="1:16">
      <c r="A8" s="7">
        <v>44</v>
      </c>
      <c r="B8" s="2" t="s">
        <v>16</v>
      </c>
      <c r="C8" s="2" t="s">
        <v>17</v>
      </c>
      <c r="D8" s="2" t="s">
        <v>18</v>
      </c>
      <c r="E8" s="7">
        <v>20000</v>
      </c>
      <c r="F8" s="7">
        <v>1611583527</v>
      </c>
      <c r="G8" s="6">
        <v>-0.027</v>
      </c>
      <c r="H8" s="6">
        <v>5.62272636294775</v>
      </c>
      <c r="I8" s="6">
        <f t="shared" si="0"/>
        <v>0.0397586793999673</v>
      </c>
      <c r="J8" s="6">
        <f t="shared" si="1"/>
        <v>-0.104927011623936</v>
      </c>
      <c r="K8" s="6">
        <f t="shared" si="2"/>
        <v>0.0509270116239358</v>
      </c>
      <c r="L8" s="7">
        <v>4507</v>
      </c>
      <c r="M8" s="7">
        <v>4593</v>
      </c>
      <c r="N8" s="7">
        <v>10900</v>
      </c>
      <c r="O8" s="2" t="str">
        <f t="shared" si="3"/>
        <v>Includes zero</v>
      </c>
      <c r="P8" s="2" t="s">
        <v>25</v>
      </c>
    </row>
    <row r="9" ht="30" customHeight="1" spans="1:16">
      <c r="A9" s="7">
        <v>44</v>
      </c>
      <c r="B9" s="2" t="s">
        <v>20</v>
      </c>
      <c r="C9" s="2" t="s">
        <v>21</v>
      </c>
      <c r="D9" s="2" t="s">
        <v>18</v>
      </c>
      <c r="E9" s="7">
        <v>20000</v>
      </c>
      <c r="F9" s="7">
        <v>1611583527</v>
      </c>
      <c r="G9" s="6">
        <v>0.0341</v>
      </c>
      <c r="H9" s="6">
        <v>5.66832812098809</v>
      </c>
      <c r="I9" s="6">
        <f t="shared" si="0"/>
        <v>0.0400811325234108</v>
      </c>
      <c r="J9" s="6">
        <f t="shared" si="1"/>
        <v>-0.0444590197458851</v>
      </c>
      <c r="K9" s="6">
        <f t="shared" si="2"/>
        <v>0.112659019745885</v>
      </c>
      <c r="L9" s="7">
        <v>4715</v>
      </c>
      <c r="M9" s="7">
        <v>4585</v>
      </c>
      <c r="N9" s="7">
        <v>10700</v>
      </c>
      <c r="O9" s="2" t="str">
        <f t="shared" si="3"/>
        <v>Includes zero</v>
      </c>
      <c r="P9" s="2" t="s">
        <v>25</v>
      </c>
    </row>
    <row r="10" ht="30" customHeight="1" spans="1:16">
      <c r="A10" s="7">
        <v>44</v>
      </c>
      <c r="B10" s="2" t="s">
        <v>22</v>
      </c>
      <c r="C10" s="2" t="s">
        <v>23</v>
      </c>
      <c r="D10" s="2" t="s">
        <v>18</v>
      </c>
      <c r="E10" s="7">
        <v>20000</v>
      </c>
      <c r="F10" s="7">
        <v>1611583527</v>
      </c>
      <c r="G10" s="6">
        <v>0.0195</v>
      </c>
      <c r="H10" s="6">
        <v>5.69402676908375</v>
      </c>
      <c r="I10" s="6">
        <f t="shared" si="0"/>
        <v>0.0402628494067685</v>
      </c>
      <c r="J10" s="6">
        <f t="shared" si="1"/>
        <v>-0.0594151848372662</v>
      </c>
      <c r="K10" s="6">
        <f t="shared" si="2"/>
        <v>0.0984151848372662</v>
      </c>
      <c r="L10" s="7">
        <v>4616</v>
      </c>
      <c r="M10" s="7">
        <v>4529</v>
      </c>
      <c r="N10" s="7">
        <v>10855</v>
      </c>
      <c r="O10" s="2" t="str">
        <f t="shared" si="3"/>
        <v>Includes zero</v>
      </c>
      <c r="P10" s="2" t="s">
        <v>25</v>
      </c>
    </row>
  </sheetData>
  <conditionalFormatting sqref="O2:O10">
    <cfRule type="containsText" dxfId="16" priority="1" operator="between" text="Positive">
      <formula>NOT(ISERROR(SEARCH("Positive",O2)))</formula>
    </cfRule>
    <cfRule type="containsText" dxfId="17" priority="2" operator="between" text="Negative">
      <formula>NOT(ISERROR(SEARCH("Negative",O2)))</formula>
    </cfRule>
    <cfRule type="containsText" dxfId="18" priority="3" operator="between" text="Positive">
      <formula>NOT(ISERROR(SEARCH("Positive",O2)))</formula>
    </cfRule>
    <cfRule type="containsText" dxfId="19" priority="4" operator="between" text="Negative">
      <formula>NOT(ISERROR(SEARCH("Negative",O2)))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showGridLines="0" workbookViewId="0">
      <selection activeCell="C1" sqref="C1"/>
    </sheetView>
  </sheetViews>
  <sheetFormatPr defaultColWidth="9" defaultRowHeight="13.8"/>
  <cols>
    <col min="1" max="1" width="9.33333333333333" customWidth="1"/>
    <col min="2" max="2" width="34.6666666666667" customWidth="1"/>
    <col min="3" max="3" width="22" customWidth="1"/>
    <col min="4" max="4" width="20" customWidth="1"/>
    <col min="5" max="5" width="11.3333333333333" customWidth="1"/>
    <col min="6" max="6" width="17.3333333333333" customWidth="1"/>
    <col min="7" max="7" width="15.3333333333333" customWidth="1"/>
    <col min="8" max="8" width="13.3333333333333" customWidth="1"/>
    <col min="9" max="9" width="14" customWidth="1"/>
    <col min="10" max="11" width="14.6666666666667" customWidth="1"/>
    <col min="12" max="14" width="11.3333333333333" customWidth="1"/>
    <col min="15" max="15" width="17.3333333333333" customWidth="1"/>
    <col min="16" max="16" width="64" customWidth="1"/>
  </cols>
  <sheetData>
    <row r="1" ht="44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 spans="1:16">
      <c r="A2" s="7">
        <v>42</v>
      </c>
      <c r="B2" s="2" t="s">
        <v>16</v>
      </c>
      <c r="C2" s="2" t="s">
        <v>17</v>
      </c>
      <c r="D2" s="2" t="s">
        <v>18</v>
      </c>
      <c r="E2" s="7">
        <v>20000</v>
      </c>
      <c r="F2" s="7">
        <v>1611583527</v>
      </c>
      <c r="G2" s="6">
        <v>0.06645</v>
      </c>
      <c r="H2" s="6">
        <v>5.65131234883219</v>
      </c>
      <c r="I2" s="6">
        <f t="shared" ref="I2:I19" si="0">H2/SQRT(E2)</f>
        <v>0.0399608128446252</v>
      </c>
      <c r="J2" s="6">
        <f t="shared" ref="J2:J19" si="1">G2-1.96*I2</f>
        <v>-0.0118731931754653</v>
      </c>
      <c r="K2" s="6">
        <f t="shared" ref="K2:K19" si="2">G2+1.96*I2</f>
        <v>0.144773193175465</v>
      </c>
      <c r="L2" s="7">
        <v>4877</v>
      </c>
      <c r="M2" s="7">
        <v>4722</v>
      </c>
      <c r="N2" s="7">
        <v>10401</v>
      </c>
      <c r="O2" s="2" t="str">
        <f t="shared" ref="O2:O19" si="3">IF(J2&gt;0,"Positive",IF(K2&lt;0,"Negative","Includes zero"))</f>
        <v>Includes zero</v>
      </c>
      <c r="P2" s="2" t="s">
        <v>26</v>
      </c>
    </row>
    <row r="3" ht="30" customHeight="1" spans="1:16">
      <c r="A3" s="7">
        <v>42</v>
      </c>
      <c r="B3" s="2" t="s">
        <v>20</v>
      </c>
      <c r="C3" s="2" t="s">
        <v>21</v>
      </c>
      <c r="D3" s="2" t="s">
        <v>18</v>
      </c>
      <c r="E3" s="7">
        <v>20000</v>
      </c>
      <c r="F3" s="7">
        <v>1611583527</v>
      </c>
      <c r="G3" s="6">
        <v>0.1132</v>
      </c>
      <c r="H3" s="6">
        <v>5.70913438892215</v>
      </c>
      <c r="I3" s="6">
        <f t="shared" si="0"/>
        <v>0.0403696764111217</v>
      </c>
      <c r="J3" s="6">
        <f t="shared" si="1"/>
        <v>0.0340754342342015</v>
      </c>
      <c r="K3" s="6">
        <f t="shared" si="2"/>
        <v>0.192324565765799</v>
      </c>
      <c r="L3" s="7">
        <v>4890</v>
      </c>
      <c r="M3" s="7">
        <v>4678</v>
      </c>
      <c r="N3" s="7">
        <v>10432</v>
      </c>
      <c r="O3" s="2" t="str">
        <f t="shared" si="3"/>
        <v>Positive</v>
      </c>
      <c r="P3" s="2" t="s">
        <v>26</v>
      </c>
    </row>
    <row r="4" ht="30" customHeight="1" spans="1:16">
      <c r="A4" s="7">
        <v>42</v>
      </c>
      <c r="B4" s="2" t="s">
        <v>22</v>
      </c>
      <c r="C4" s="2" t="s">
        <v>23</v>
      </c>
      <c r="D4" s="2" t="s">
        <v>18</v>
      </c>
      <c r="E4" s="7">
        <v>20000</v>
      </c>
      <c r="F4" s="7">
        <v>1611583527</v>
      </c>
      <c r="G4" s="6">
        <v>0.07955</v>
      </c>
      <c r="H4" s="6">
        <v>5.74373322161345</v>
      </c>
      <c r="I4" s="6">
        <f t="shared" si="0"/>
        <v>0.0406143271032933</v>
      </c>
      <c r="J4" s="6">
        <f t="shared" si="1"/>
        <v>-5.40811224548216e-5</v>
      </c>
      <c r="K4" s="6">
        <f t="shared" si="2"/>
        <v>0.159154081122455</v>
      </c>
      <c r="L4" s="7">
        <v>4823</v>
      </c>
      <c r="M4" s="7">
        <v>4697</v>
      </c>
      <c r="N4" s="7">
        <v>10480</v>
      </c>
      <c r="O4" s="2" t="str">
        <f t="shared" si="3"/>
        <v>Includes zero</v>
      </c>
      <c r="P4" s="2" t="s">
        <v>26</v>
      </c>
    </row>
    <row r="5" ht="30" customHeight="1" spans="1:16">
      <c r="A5" s="7">
        <v>42</v>
      </c>
      <c r="B5" s="2" t="s">
        <v>27</v>
      </c>
      <c r="C5" s="2" t="s">
        <v>17</v>
      </c>
      <c r="D5" s="2" t="s">
        <v>21</v>
      </c>
      <c r="E5" s="7">
        <v>20000</v>
      </c>
      <c r="F5" s="7">
        <v>1611583527</v>
      </c>
      <c r="G5" s="6">
        <v>0.0224</v>
      </c>
      <c r="H5" s="6">
        <v>5.66453904480581</v>
      </c>
      <c r="I5" s="6">
        <f t="shared" si="0"/>
        <v>0.0400543397087816</v>
      </c>
      <c r="J5" s="6">
        <f t="shared" si="1"/>
        <v>-0.0561065058292119</v>
      </c>
      <c r="K5" s="6">
        <f t="shared" si="2"/>
        <v>0.100906505829212</v>
      </c>
      <c r="L5" s="7">
        <v>4800</v>
      </c>
      <c r="M5" s="7">
        <v>4770</v>
      </c>
      <c r="N5" s="7">
        <v>10430</v>
      </c>
      <c r="O5" s="2" t="str">
        <f t="shared" si="3"/>
        <v>Includes zero</v>
      </c>
      <c r="P5" s="2" t="s">
        <v>26</v>
      </c>
    </row>
    <row r="6" ht="30" customHeight="1" spans="1:16">
      <c r="A6" s="7">
        <v>42</v>
      </c>
      <c r="B6" s="2" t="s">
        <v>28</v>
      </c>
      <c r="C6" s="2" t="s">
        <v>17</v>
      </c>
      <c r="D6" s="2" t="s">
        <v>23</v>
      </c>
      <c r="E6" s="7">
        <v>20000</v>
      </c>
      <c r="F6" s="7">
        <v>1611583527</v>
      </c>
      <c r="G6" s="6">
        <v>-0.01475</v>
      </c>
      <c r="H6" s="6">
        <v>5.69156851273063</v>
      </c>
      <c r="I6" s="6">
        <f t="shared" si="0"/>
        <v>0.0402454669093966</v>
      </c>
      <c r="J6" s="6">
        <f t="shared" si="1"/>
        <v>-0.0936311151424173</v>
      </c>
      <c r="K6" s="6">
        <f t="shared" si="2"/>
        <v>0.0641311151424173</v>
      </c>
      <c r="L6" s="7">
        <v>4758</v>
      </c>
      <c r="M6" s="7">
        <v>4771</v>
      </c>
      <c r="N6" s="7">
        <v>10471</v>
      </c>
      <c r="O6" s="2" t="str">
        <f t="shared" si="3"/>
        <v>Includes zero</v>
      </c>
      <c r="P6" s="2" t="s">
        <v>26</v>
      </c>
    </row>
    <row r="7" ht="30" customHeight="1" spans="1:16">
      <c r="A7" s="7">
        <v>42</v>
      </c>
      <c r="B7" s="2" t="s">
        <v>29</v>
      </c>
      <c r="C7" s="2" t="s">
        <v>21</v>
      </c>
      <c r="D7" s="2" t="s">
        <v>23</v>
      </c>
      <c r="E7" s="7">
        <v>20000</v>
      </c>
      <c r="F7" s="7">
        <v>1611583527</v>
      </c>
      <c r="G7" s="6">
        <v>0.0016</v>
      </c>
      <c r="H7" s="6">
        <v>5.65372405320453</v>
      </c>
      <c r="I7" s="6">
        <f t="shared" si="0"/>
        <v>0.0399778661697842</v>
      </c>
      <c r="J7" s="6">
        <f t="shared" si="1"/>
        <v>-0.076756617692777</v>
      </c>
      <c r="K7" s="6">
        <f t="shared" si="2"/>
        <v>0.079956617692777</v>
      </c>
      <c r="L7" s="7">
        <v>4658</v>
      </c>
      <c r="M7" s="7">
        <v>4634</v>
      </c>
      <c r="N7" s="7">
        <v>10708</v>
      </c>
      <c r="O7" s="2" t="str">
        <f t="shared" si="3"/>
        <v>Includes zero</v>
      </c>
      <c r="P7" s="2" t="s">
        <v>26</v>
      </c>
    </row>
    <row r="8" ht="30" customHeight="1" spans="1:16">
      <c r="A8" s="7">
        <v>43</v>
      </c>
      <c r="B8" s="2" t="s">
        <v>16</v>
      </c>
      <c r="C8" s="2" t="s">
        <v>17</v>
      </c>
      <c r="D8" s="2" t="s">
        <v>18</v>
      </c>
      <c r="E8" s="7">
        <v>20000</v>
      </c>
      <c r="F8" s="7">
        <v>1611583527</v>
      </c>
      <c r="G8" s="6">
        <v>0.0157</v>
      </c>
      <c r="H8" s="6">
        <v>5.6647734282052</v>
      </c>
      <c r="I8" s="6">
        <f t="shared" si="0"/>
        <v>0.0400559970496926</v>
      </c>
      <c r="J8" s="6">
        <f t="shared" si="1"/>
        <v>-0.0628097542173975</v>
      </c>
      <c r="K8" s="6">
        <f t="shared" si="2"/>
        <v>0.0942097542173975</v>
      </c>
      <c r="L8" s="7">
        <v>4702</v>
      </c>
      <c r="M8" s="7">
        <v>4692</v>
      </c>
      <c r="N8" s="7">
        <v>10606</v>
      </c>
      <c r="O8" s="2" t="str">
        <f t="shared" si="3"/>
        <v>Includes zero</v>
      </c>
      <c r="P8" s="2" t="s">
        <v>30</v>
      </c>
    </row>
    <row r="9" ht="30" customHeight="1" spans="1:16">
      <c r="A9" s="7">
        <v>43</v>
      </c>
      <c r="B9" s="2" t="s">
        <v>20</v>
      </c>
      <c r="C9" s="2" t="s">
        <v>21</v>
      </c>
      <c r="D9" s="2" t="s">
        <v>18</v>
      </c>
      <c r="E9" s="7">
        <v>20000</v>
      </c>
      <c r="F9" s="7">
        <v>1611583527</v>
      </c>
      <c r="G9" s="6">
        <v>0.04375</v>
      </c>
      <c r="H9" s="6">
        <v>5.68588184894129</v>
      </c>
      <c r="I9" s="6">
        <f t="shared" si="0"/>
        <v>0.0402052561241189</v>
      </c>
      <c r="J9" s="6">
        <f t="shared" si="1"/>
        <v>-0.035052302003273</v>
      </c>
      <c r="K9" s="6">
        <f t="shared" si="2"/>
        <v>0.122552302003273</v>
      </c>
      <c r="L9" s="7">
        <v>4754</v>
      </c>
      <c r="M9" s="7">
        <v>4653</v>
      </c>
      <c r="N9" s="7">
        <v>10593</v>
      </c>
      <c r="O9" s="2" t="str">
        <f t="shared" si="3"/>
        <v>Includes zero</v>
      </c>
      <c r="P9" s="2" t="s">
        <v>30</v>
      </c>
    </row>
    <row r="10" ht="30" customHeight="1" spans="1:16">
      <c r="A10" s="7">
        <v>43</v>
      </c>
      <c r="B10" s="2" t="s">
        <v>22</v>
      </c>
      <c r="C10" s="2" t="s">
        <v>23</v>
      </c>
      <c r="D10" s="2" t="s">
        <v>18</v>
      </c>
      <c r="E10" s="7">
        <v>20000</v>
      </c>
      <c r="F10" s="7">
        <v>1611583527</v>
      </c>
      <c r="G10" s="6">
        <v>0.0234</v>
      </c>
      <c r="H10" s="6">
        <v>5.55173788373303</v>
      </c>
      <c r="I10" s="6">
        <f t="shared" si="0"/>
        <v>0.0392567150495788</v>
      </c>
      <c r="J10" s="6">
        <f t="shared" si="1"/>
        <v>-0.0535431614971744</v>
      </c>
      <c r="K10" s="6">
        <f t="shared" si="2"/>
        <v>0.100343161497174</v>
      </c>
      <c r="L10" s="7">
        <v>4640</v>
      </c>
      <c r="M10" s="7">
        <v>4573</v>
      </c>
      <c r="N10" s="7">
        <v>10787</v>
      </c>
      <c r="O10" s="2" t="str">
        <f t="shared" si="3"/>
        <v>Includes zero</v>
      </c>
      <c r="P10" s="2" t="s">
        <v>30</v>
      </c>
    </row>
    <row r="11" ht="30" customHeight="1" spans="1:16">
      <c r="A11" s="7">
        <v>43</v>
      </c>
      <c r="B11" s="2" t="s">
        <v>27</v>
      </c>
      <c r="C11" s="2" t="s">
        <v>17</v>
      </c>
      <c r="D11" s="2" t="s">
        <v>21</v>
      </c>
      <c r="E11" s="7">
        <v>20000</v>
      </c>
      <c r="F11" s="7">
        <v>1611583527</v>
      </c>
      <c r="G11" s="6">
        <v>-0.05665</v>
      </c>
      <c r="H11" s="6">
        <v>5.7060203917385</v>
      </c>
      <c r="I11" s="6">
        <f t="shared" si="0"/>
        <v>0.0403476571258701</v>
      </c>
      <c r="J11" s="6">
        <f t="shared" si="1"/>
        <v>-0.135731407966705</v>
      </c>
      <c r="K11" s="6">
        <f t="shared" si="2"/>
        <v>0.0224314079667054</v>
      </c>
      <c r="L11" s="7">
        <v>4650</v>
      </c>
      <c r="M11" s="7">
        <v>4800</v>
      </c>
      <c r="N11" s="7">
        <v>10550</v>
      </c>
      <c r="O11" s="2" t="str">
        <f t="shared" si="3"/>
        <v>Includes zero</v>
      </c>
      <c r="P11" s="2" t="s">
        <v>30</v>
      </c>
    </row>
    <row r="12" ht="30" customHeight="1" spans="1:16">
      <c r="A12" s="7">
        <v>43</v>
      </c>
      <c r="B12" s="2" t="s">
        <v>28</v>
      </c>
      <c r="C12" s="2" t="s">
        <v>17</v>
      </c>
      <c r="D12" s="2" t="s">
        <v>23</v>
      </c>
      <c r="E12" s="7">
        <v>20000</v>
      </c>
      <c r="F12" s="7">
        <v>1611583527</v>
      </c>
      <c r="G12" s="6">
        <v>-0.06485</v>
      </c>
      <c r="H12" s="6">
        <v>5.56589556470222</v>
      </c>
      <c r="I12" s="6">
        <f t="shared" si="0"/>
        <v>0.0393568249717707</v>
      </c>
      <c r="J12" s="6">
        <f t="shared" si="1"/>
        <v>-0.141989376944671</v>
      </c>
      <c r="K12" s="6">
        <f t="shared" si="2"/>
        <v>0.0122893769446705</v>
      </c>
      <c r="L12" s="7">
        <v>4620</v>
      </c>
      <c r="M12" s="7">
        <v>4765</v>
      </c>
      <c r="N12" s="7">
        <v>10615</v>
      </c>
      <c r="O12" s="2" t="str">
        <f t="shared" si="3"/>
        <v>Includes zero</v>
      </c>
      <c r="P12" s="2" t="s">
        <v>30</v>
      </c>
    </row>
    <row r="13" ht="30" customHeight="1" spans="1:16">
      <c r="A13" s="7">
        <v>43</v>
      </c>
      <c r="B13" s="2" t="s">
        <v>29</v>
      </c>
      <c r="C13" s="2" t="s">
        <v>21</v>
      </c>
      <c r="D13" s="2" t="s">
        <v>23</v>
      </c>
      <c r="E13" s="7">
        <v>20000</v>
      </c>
      <c r="F13" s="7">
        <v>1611583527</v>
      </c>
      <c r="G13" s="6">
        <v>0.01255</v>
      </c>
      <c r="H13" s="6">
        <v>5.56625921598904</v>
      </c>
      <c r="I13" s="6">
        <f t="shared" si="0"/>
        <v>0.0393593963746797</v>
      </c>
      <c r="J13" s="6">
        <f t="shared" si="1"/>
        <v>-0.0645944168943722</v>
      </c>
      <c r="K13" s="6">
        <f t="shared" si="2"/>
        <v>0.0896944168943722</v>
      </c>
      <c r="L13" s="7">
        <v>4594</v>
      </c>
      <c r="M13" s="7">
        <v>4566</v>
      </c>
      <c r="N13" s="7">
        <v>10840</v>
      </c>
      <c r="O13" s="2" t="str">
        <f t="shared" si="3"/>
        <v>Includes zero</v>
      </c>
      <c r="P13" s="2" t="s">
        <v>30</v>
      </c>
    </row>
    <row r="14" ht="30" customHeight="1" spans="1:16">
      <c r="A14" s="7">
        <v>44</v>
      </c>
      <c r="B14" s="2" t="s">
        <v>16</v>
      </c>
      <c r="C14" s="2" t="s">
        <v>17</v>
      </c>
      <c r="D14" s="2" t="s">
        <v>18</v>
      </c>
      <c r="E14" s="7">
        <v>20000</v>
      </c>
      <c r="F14" s="7">
        <v>1611583527</v>
      </c>
      <c r="G14" s="6">
        <v>-0.0521</v>
      </c>
      <c r="H14" s="6">
        <v>5.60152251113232</v>
      </c>
      <c r="I14" s="6">
        <f t="shared" si="0"/>
        <v>0.0396087455259076</v>
      </c>
      <c r="J14" s="6">
        <f t="shared" si="1"/>
        <v>-0.129733141230779</v>
      </c>
      <c r="K14" s="6">
        <f t="shared" si="2"/>
        <v>0.0255331412307789</v>
      </c>
      <c r="L14" s="7">
        <v>4571</v>
      </c>
      <c r="M14" s="7">
        <v>4659</v>
      </c>
      <c r="N14" s="7">
        <v>10770</v>
      </c>
      <c r="O14" s="2" t="str">
        <f t="shared" si="3"/>
        <v>Includes zero</v>
      </c>
      <c r="P14" s="2" t="s">
        <v>31</v>
      </c>
    </row>
    <row r="15" ht="30" customHeight="1" spans="1:16">
      <c r="A15" s="7">
        <v>44</v>
      </c>
      <c r="B15" s="2" t="s">
        <v>20</v>
      </c>
      <c r="C15" s="2" t="s">
        <v>21</v>
      </c>
      <c r="D15" s="2" t="s">
        <v>18</v>
      </c>
      <c r="E15" s="7">
        <v>20000</v>
      </c>
      <c r="F15" s="7">
        <v>1611583527</v>
      </c>
      <c r="G15" s="6">
        <v>0.0091</v>
      </c>
      <c r="H15" s="6">
        <v>5.60720868431535</v>
      </c>
      <c r="I15" s="6">
        <f t="shared" si="0"/>
        <v>0.0396489528420748</v>
      </c>
      <c r="J15" s="6">
        <f t="shared" si="1"/>
        <v>-0.0686119475704667</v>
      </c>
      <c r="K15" s="6">
        <f t="shared" si="2"/>
        <v>0.0868119475704667</v>
      </c>
      <c r="L15" s="7">
        <v>4693</v>
      </c>
      <c r="M15" s="7">
        <v>4608</v>
      </c>
      <c r="N15" s="7">
        <v>10699</v>
      </c>
      <c r="O15" s="2" t="str">
        <f t="shared" si="3"/>
        <v>Includes zero</v>
      </c>
      <c r="P15" s="2" t="s">
        <v>31</v>
      </c>
    </row>
    <row r="16" ht="30" customHeight="1" spans="1:16">
      <c r="A16" s="7">
        <v>44</v>
      </c>
      <c r="B16" s="2" t="s">
        <v>22</v>
      </c>
      <c r="C16" s="2" t="s">
        <v>23</v>
      </c>
      <c r="D16" s="2" t="s">
        <v>18</v>
      </c>
      <c r="E16" s="7">
        <v>20000</v>
      </c>
      <c r="F16" s="7">
        <v>1611583527</v>
      </c>
      <c r="G16" s="6">
        <v>-0.056</v>
      </c>
      <c r="H16" s="6">
        <v>5.56161043003992</v>
      </c>
      <c r="I16" s="6">
        <f t="shared" si="0"/>
        <v>0.0393265244939906</v>
      </c>
      <c r="J16" s="6">
        <f t="shared" si="1"/>
        <v>-0.133079988008221</v>
      </c>
      <c r="K16" s="6">
        <f t="shared" si="2"/>
        <v>0.0210799880082215</v>
      </c>
      <c r="L16" s="7">
        <v>4574</v>
      </c>
      <c r="M16" s="7">
        <v>4596</v>
      </c>
      <c r="N16" s="7">
        <v>10830</v>
      </c>
      <c r="O16" s="2" t="str">
        <f t="shared" si="3"/>
        <v>Includes zero</v>
      </c>
      <c r="P16" s="2" t="s">
        <v>31</v>
      </c>
    </row>
    <row r="17" ht="30" customHeight="1" spans="1:16">
      <c r="A17" s="7">
        <v>44</v>
      </c>
      <c r="B17" s="2" t="s">
        <v>27</v>
      </c>
      <c r="C17" s="2" t="s">
        <v>17</v>
      </c>
      <c r="D17" s="2" t="s">
        <v>21</v>
      </c>
      <c r="E17" s="7">
        <v>20000</v>
      </c>
      <c r="F17" s="7">
        <v>1611583527</v>
      </c>
      <c r="G17" s="6">
        <v>-0.05405</v>
      </c>
      <c r="H17" s="6">
        <v>5.61892402625811</v>
      </c>
      <c r="I17" s="6">
        <f t="shared" si="0"/>
        <v>0.0397317928193913</v>
      </c>
      <c r="J17" s="6">
        <f t="shared" si="1"/>
        <v>-0.131924313926007</v>
      </c>
      <c r="K17" s="6">
        <f t="shared" si="2"/>
        <v>0.0238243139260069</v>
      </c>
      <c r="L17" s="7">
        <v>4615</v>
      </c>
      <c r="M17" s="7">
        <v>4745</v>
      </c>
      <c r="N17" s="7">
        <v>10640</v>
      </c>
      <c r="O17" s="2" t="str">
        <f t="shared" si="3"/>
        <v>Includes zero</v>
      </c>
      <c r="P17" s="2" t="s">
        <v>31</v>
      </c>
    </row>
    <row r="18" ht="30" customHeight="1" spans="1:16">
      <c r="A18" s="7">
        <v>44</v>
      </c>
      <c r="B18" s="2" t="s">
        <v>28</v>
      </c>
      <c r="C18" s="2" t="s">
        <v>17</v>
      </c>
      <c r="D18" s="2" t="s">
        <v>23</v>
      </c>
      <c r="E18" s="7">
        <v>20000</v>
      </c>
      <c r="F18" s="7">
        <v>1611583527</v>
      </c>
      <c r="G18" s="6">
        <v>-0.0427</v>
      </c>
      <c r="H18" s="6">
        <v>5.67944447234725</v>
      </c>
      <c r="I18" s="6">
        <f t="shared" si="0"/>
        <v>0.0401597369976919</v>
      </c>
      <c r="J18" s="6">
        <f t="shared" si="1"/>
        <v>-0.121413084515476</v>
      </c>
      <c r="K18" s="6">
        <f t="shared" si="2"/>
        <v>0.0360130845154762</v>
      </c>
      <c r="L18" s="7">
        <v>4683</v>
      </c>
      <c r="M18" s="7">
        <v>4805</v>
      </c>
      <c r="N18" s="7">
        <v>10512</v>
      </c>
      <c r="O18" s="2" t="str">
        <f t="shared" si="3"/>
        <v>Includes zero</v>
      </c>
      <c r="P18" s="2" t="s">
        <v>31</v>
      </c>
    </row>
    <row r="19" ht="30" customHeight="1" spans="1:16">
      <c r="A19" s="7">
        <v>44</v>
      </c>
      <c r="B19" s="2" t="s">
        <v>29</v>
      </c>
      <c r="C19" s="2" t="s">
        <v>21</v>
      </c>
      <c r="D19" s="2" t="s">
        <v>23</v>
      </c>
      <c r="E19" s="7">
        <v>20000</v>
      </c>
      <c r="F19" s="7">
        <v>1611583527</v>
      </c>
      <c r="G19" s="6">
        <v>0.0359</v>
      </c>
      <c r="H19" s="6">
        <v>5.59997135474448</v>
      </c>
      <c r="I19" s="6">
        <f t="shared" si="0"/>
        <v>0.0395977771939024</v>
      </c>
      <c r="J19" s="6">
        <f t="shared" si="1"/>
        <v>-0.0417116433000486</v>
      </c>
      <c r="K19" s="6">
        <f t="shared" si="2"/>
        <v>0.113511643300049</v>
      </c>
      <c r="L19" s="7">
        <v>4665</v>
      </c>
      <c r="M19" s="7">
        <v>4562</v>
      </c>
      <c r="N19" s="7">
        <v>10773</v>
      </c>
      <c r="O19" s="2" t="str">
        <f t="shared" si="3"/>
        <v>Includes zero</v>
      </c>
      <c r="P19" s="2" t="s">
        <v>31</v>
      </c>
    </row>
    <row r="20" spans="1:13">
      <c r="A20" s="31"/>
      <c r="B20" s="31"/>
      <c r="C20" s="31"/>
      <c r="D20" s="31"/>
      <c r="E20" s="41"/>
      <c r="F20" s="41"/>
      <c r="G20" s="41"/>
      <c r="H20" s="41"/>
      <c r="I20" s="41"/>
      <c r="J20" s="31"/>
      <c r="K20" s="31"/>
      <c r="L20" s="31"/>
      <c r="M20" s="31"/>
    </row>
    <row r="21" spans="1:13">
      <c r="A21" s="34"/>
      <c r="B21" s="34"/>
      <c r="C21" s="34"/>
      <c r="D21" s="34"/>
      <c r="E21" s="42"/>
      <c r="F21" s="42"/>
      <c r="G21" s="42"/>
      <c r="H21" s="42"/>
      <c r="I21" s="42"/>
      <c r="J21" s="34"/>
      <c r="K21" s="34"/>
      <c r="L21" s="34"/>
      <c r="M21" s="34"/>
    </row>
    <row r="22" spans="1:13">
      <c r="A22" s="34"/>
      <c r="B22" s="34"/>
      <c r="C22" s="34"/>
      <c r="D22" s="34"/>
      <c r="E22" s="42"/>
      <c r="F22" s="42"/>
      <c r="G22" s="42"/>
      <c r="H22" s="42"/>
      <c r="I22" s="42"/>
      <c r="J22" s="34"/>
      <c r="K22" s="34"/>
      <c r="L22" s="34"/>
      <c r="M22" s="34"/>
    </row>
    <row r="23" spans="1:13">
      <c r="A23" s="34"/>
      <c r="B23" s="34"/>
      <c r="C23" s="34"/>
      <c r="D23" s="34"/>
      <c r="E23" s="42"/>
      <c r="F23" s="42"/>
      <c r="G23" s="42"/>
      <c r="H23" s="42"/>
      <c r="I23" s="42"/>
      <c r="J23" s="34"/>
      <c r="K23" s="34"/>
      <c r="L23" s="34"/>
      <c r="M23" s="34"/>
    </row>
    <row r="24" spans="1:13">
      <c r="A24" s="34"/>
      <c r="B24" s="34"/>
      <c r="C24" s="34"/>
      <c r="D24" s="34"/>
      <c r="E24" s="42"/>
      <c r="F24" s="42"/>
      <c r="G24" s="42"/>
      <c r="H24" s="42"/>
      <c r="I24" s="42"/>
      <c r="J24" s="34"/>
      <c r="K24" s="34"/>
      <c r="L24" s="34"/>
      <c r="M24" s="34"/>
    </row>
    <row r="25" spans="1:13">
      <c r="A25" s="34"/>
      <c r="B25" s="34"/>
      <c r="C25" s="34"/>
      <c r="D25" s="34"/>
      <c r="E25" s="42"/>
      <c r="F25" s="42"/>
      <c r="G25" s="42"/>
      <c r="H25" s="42"/>
      <c r="I25" s="42"/>
      <c r="J25" s="34"/>
      <c r="K25" s="34"/>
      <c r="L25" s="34"/>
      <c r="M25" s="34"/>
    </row>
    <row r="26" spans="1:13">
      <c r="A26" s="34"/>
      <c r="B26" s="34"/>
      <c r="C26" s="34"/>
      <c r="D26" s="34"/>
      <c r="E26" s="42"/>
      <c r="F26" s="42"/>
      <c r="G26" s="42"/>
      <c r="H26" s="42"/>
      <c r="I26" s="42"/>
      <c r="J26" s="34"/>
      <c r="K26" s="34"/>
      <c r="L26" s="34"/>
      <c r="M26" s="34"/>
    </row>
    <row r="27" spans="1:13">
      <c r="A27" s="34"/>
      <c r="B27" s="34"/>
      <c r="C27" s="34"/>
      <c r="D27" s="34"/>
      <c r="E27" s="42"/>
      <c r="F27" s="42"/>
      <c r="G27" s="42"/>
      <c r="H27" s="42"/>
      <c r="I27" s="42"/>
      <c r="J27" s="34"/>
      <c r="K27" s="34"/>
      <c r="L27" s="34"/>
      <c r="M27" s="34"/>
    </row>
    <row r="28" spans="1:13">
      <c r="A28" s="34"/>
      <c r="B28" s="34"/>
      <c r="C28" s="34"/>
      <c r="D28" s="34"/>
      <c r="E28" s="42"/>
      <c r="F28" s="42"/>
      <c r="G28" s="42"/>
      <c r="H28" s="42"/>
      <c r="I28" s="42"/>
      <c r="J28" s="34"/>
      <c r="K28" s="34"/>
      <c r="L28" s="34"/>
      <c r="M28" s="34"/>
    </row>
    <row r="29" spans="1:13">
      <c r="A29" s="34"/>
      <c r="B29" s="34"/>
      <c r="C29" s="34"/>
      <c r="D29" s="34"/>
      <c r="E29" s="42"/>
      <c r="F29" s="42"/>
      <c r="G29" s="42"/>
      <c r="H29" s="42"/>
      <c r="I29" s="42"/>
      <c r="J29" s="34"/>
      <c r="K29" s="34"/>
      <c r="L29" s="34"/>
      <c r="M29" s="34"/>
    </row>
    <row r="30" spans="1:13">
      <c r="A30" s="34"/>
      <c r="B30" s="34"/>
      <c r="C30" s="34"/>
      <c r="D30" s="34"/>
      <c r="E30" s="42"/>
      <c r="F30" s="42"/>
      <c r="G30" s="42"/>
      <c r="H30" s="42"/>
      <c r="I30" s="42"/>
      <c r="J30" s="34"/>
      <c r="K30" s="34"/>
      <c r="L30" s="34"/>
      <c r="M30" s="34"/>
    </row>
    <row r="31" spans="1:13">
      <c r="A31" s="37"/>
      <c r="B31" s="37"/>
      <c r="C31" s="37"/>
      <c r="D31" s="37"/>
      <c r="E31" s="43"/>
      <c r="F31" s="43"/>
      <c r="G31" s="43"/>
      <c r="H31" s="43"/>
      <c r="I31" s="43"/>
      <c r="J31" s="37"/>
      <c r="K31" s="37"/>
      <c r="L31" s="37"/>
      <c r="M31" s="37"/>
    </row>
  </sheetData>
  <conditionalFormatting sqref="M2:M31">
    <cfRule type="containsText" dxfId="16" priority="1" operator="between" text="Positive">
      <formula>NOT(ISERROR(SEARCH("Positive",M2)))</formula>
    </cfRule>
    <cfRule type="containsText" dxfId="17" priority="2" operator="between" text="Negative">
      <formula>NOT(ISERROR(SEARCH("Negative",M2)))</formula>
    </cfRule>
  </conditionalFormatting>
  <conditionalFormatting sqref="O2:O19">
    <cfRule type="containsText" dxfId="18" priority="3" operator="between" text="Positive">
      <formula>NOT(ISERROR(SEARCH("Positive",O2)))</formula>
    </cfRule>
    <cfRule type="containsText" dxfId="19" priority="4" operator="between" text="Negative">
      <formula>NOT(ISERROR(SEARCH("Negative",O2)))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9" defaultRowHeight="13.8"/>
  <cols>
    <col min="1" max="1" width="4.25" customWidth="1"/>
    <col min="2" max="2" width="8.63333333333333" customWidth="1"/>
    <col min="3" max="3" width="11.8833333333333" customWidth="1"/>
    <col min="4" max="4" width="6.6" customWidth="1"/>
    <col min="5" max="5" width="42" customWidth="1"/>
    <col min="6" max="6" width="10.4" customWidth="1"/>
    <col min="7" max="7" width="7" customWidth="1"/>
    <col min="8" max="8" width="68" customWidth="1"/>
    <col min="9" max="9" width="48" customWidth="1"/>
  </cols>
  <sheetData>
    <row r="1" ht="28" customHeight="1" spans="1:9">
      <c r="A1" s="29" t="s">
        <v>0</v>
      </c>
      <c r="B1" s="30" t="s">
        <v>32</v>
      </c>
      <c r="C1" s="30" t="s">
        <v>33</v>
      </c>
      <c r="D1" s="30" t="s">
        <v>34</v>
      </c>
      <c r="E1" s="30" t="s">
        <v>35</v>
      </c>
      <c r="F1" s="30" t="s">
        <v>36</v>
      </c>
      <c r="G1" s="30" t="s">
        <v>37</v>
      </c>
      <c r="H1" s="30" t="s">
        <v>38</v>
      </c>
      <c r="I1" s="40" t="s">
        <v>39</v>
      </c>
    </row>
    <row r="2" spans="1:9">
      <c r="A2" s="31">
        <v>42</v>
      </c>
      <c r="B2" s="31" t="s">
        <v>40</v>
      </c>
      <c r="C2" s="31" t="s">
        <v>41</v>
      </c>
      <c r="D2" s="31">
        <v>100</v>
      </c>
      <c r="E2" s="31" t="s">
        <v>42</v>
      </c>
      <c r="F2" s="32">
        <v>89717419</v>
      </c>
      <c r="G2" s="33">
        <v>85.5611982345581</v>
      </c>
      <c r="H2" s="31" t="s">
        <v>43</v>
      </c>
      <c r="I2" s="31" t="s">
        <v>44</v>
      </c>
    </row>
    <row r="3" spans="1:9">
      <c r="A3" s="34">
        <v>42</v>
      </c>
      <c r="B3" s="34" t="s">
        <v>45</v>
      </c>
      <c r="C3" s="34" t="s">
        <v>46</v>
      </c>
      <c r="D3" s="34">
        <v>100</v>
      </c>
      <c r="E3" s="34" t="s">
        <v>47</v>
      </c>
      <c r="F3" s="35">
        <v>89717419</v>
      </c>
      <c r="G3" s="36">
        <v>85.5611982345581</v>
      </c>
      <c r="H3" s="34" t="s">
        <v>48</v>
      </c>
      <c r="I3" s="34" t="s">
        <v>44</v>
      </c>
    </row>
    <row r="4" spans="1:9">
      <c r="A4" s="34">
        <v>42</v>
      </c>
      <c r="B4" s="34" t="s">
        <v>49</v>
      </c>
      <c r="C4" s="34" t="s">
        <v>50</v>
      </c>
      <c r="D4" s="34">
        <v>100</v>
      </c>
      <c r="E4" s="34" t="s">
        <v>51</v>
      </c>
      <c r="F4" s="35">
        <v>89718077</v>
      </c>
      <c r="G4" s="36">
        <v>85.5618257522583</v>
      </c>
      <c r="H4" s="34" t="s">
        <v>52</v>
      </c>
      <c r="I4" s="34" t="s">
        <v>44</v>
      </c>
    </row>
    <row r="5" spans="1:9">
      <c r="A5" s="34">
        <v>42</v>
      </c>
      <c r="B5" s="34" t="s">
        <v>23</v>
      </c>
      <c r="C5" s="34" t="s">
        <v>53</v>
      </c>
      <c r="D5" s="34">
        <v>100</v>
      </c>
      <c r="E5" s="34" t="s">
        <v>54</v>
      </c>
      <c r="F5" s="35">
        <v>89718077</v>
      </c>
      <c r="G5" s="36">
        <v>85.5618257522583</v>
      </c>
      <c r="H5" s="34" t="s">
        <v>55</v>
      </c>
      <c r="I5" s="34" t="s">
        <v>44</v>
      </c>
    </row>
    <row r="6" spans="1:9">
      <c r="A6" s="34">
        <v>43</v>
      </c>
      <c r="B6" s="34" t="s">
        <v>40</v>
      </c>
      <c r="C6" s="34" t="s">
        <v>41</v>
      </c>
      <c r="D6" s="34">
        <v>100</v>
      </c>
      <c r="E6" s="34" t="s">
        <v>56</v>
      </c>
      <c r="F6" s="35">
        <v>89717419</v>
      </c>
      <c r="G6" s="36">
        <v>85.5611982345581</v>
      </c>
      <c r="H6" s="34" t="s">
        <v>57</v>
      </c>
      <c r="I6" s="34" t="s">
        <v>44</v>
      </c>
    </row>
    <row r="7" spans="1:9">
      <c r="A7" s="34">
        <v>43</v>
      </c>
      <c r="B7" s="34" t="s">
        <v>45</v>
      </c>
      <c r="C7" s="34" t="s">
        <v>46</v>
      </c>
      <c r="D7" s="34">
        <v>100</v>
      </c>
      <c r="E7" s="34" t="s">
        <v>58</v>
      </c>
      <c r="F7" s="35">
        <v>89717419</v>
      </c>
      <c r="G7" s="36">
        <v>85.5611982345581</v>
      </c>
      <c r="H7" s="34" t="s">
        <v>59</v>
      </c>
      <c r="I7" s="34" t="s">
        <v>44</v>
      </c>
    </row>
    <row r="8" spans="1:9">
      <c r="A8" s="34">
        <v>43</v>
      </c>
      <c r="B8" s="34" t="s">
        <v>49</v>
      </c>
      <c r="C8" s="34" t="s">
        <v>50</v>
      </c>
      <c r="D8" s="34">
        <v>100</v>
      </c>
      <c r="E8" s="34" t="s">
        <v>60</v>
      </c>
      <c r="F8" s="35">
        <v>89718077</v>
      </c>
      <c r="G8" s="36">
        <v>85.5618257522583</v>
      </c>
      <c r="H8" s="34" t="s">
        <v>61</v>
      </c>
      <c r="I8" s="34" t="s">
        <v>44</v>
      </c>
    </row>
    <row r="9" spans="1:9">
      <c r="A9" s="34">
        <v>43</v>
      </c>
      <c r="B9" s="34" t="s">
        <v>23</v>
      </c>
      <c r="C9" s="34" t="s">
        <v>53</v>
      </c>
      <c r="D9" s="34">
        <v>100</v>
      </c>
      <c r="E9" s="34" t="s">
        <v>62</v>
      </c>
      <c r="F9" s="35">
        <v>89718077</v>
      </c>
      <c r="G9" s="36">
        <v>85.5618257522583</v>
      </c>
      <c r="H9" s="34" t="s">
        <v>63</v>
      </c>
      <c r="I9" s="34" t="s">
        <v>44</v>
      </c>
    </row>
    <row r="10" spans="1:9">
      <c r="A10" s="34">
        <v>44</v>
      </c>
      <c r="B10" s="34" t="s">
        <v>40</v>
      </c>
      <c r="C10" s="34" t="s">
        <v>41</v>
      </c>
      <c r="D10" s="34">
        <v>100</v>
      </c>
      <c r="E10" s="34" t="s">
        <v>64</v>
      </c>
      <c r="F10" s="35">
        <v>89717419</v>
      </c>
      <c r="G10" s="36">
        <v>85.5611982345581</v>
      </c>
      <c r="H10" s="34" t="s">
        <v>65</v>
      </c>
      <c r="I10" s="34" t="s">
        <v>44</v>
      </c>
    </row>
    <row r="11" spans="1:9">
      <c r="A11" s="34">
        <v>44</v>
      </c>
      <c r="B11" s="34" t="s">
        <v>45</v>
      </c>
      <c r="C11" s="34" t="s">
        <v>46</v>
      </c>
      <c r="D11" s="34">
        <v>100</v>
      </c>
      <c r="E11" s="34" t="s">
        <v>66</v>
      </c>
      <c r="F11" s="35">
        <v>89717419</v>
      </c>
      <c r="G11" s="36">
        <v>85.5611982345581</v>
      </c>
      <c r="H11" s="34" t="s">
        <v>67</v>
      </c>
      <c r="I11" s="34" t="s">
        <v>44</v>
      </c>
    </row>
    <row r="12" spans="1:9">
      <c r="A12" s="34">
        <v>44</v>
      </c>
      <c r="B12" s="34" t="s">
        <v>49</v>
      </c>
      <c r="C12" s="34" t="s">
        <v>50</v>
      </c>
      <c r="D12" s="34">
        <v>100</v>
      </c>
      <c r="E12" s="34" t="s">
        <v>68</v>
      </c>
      <c r="F12" s="35">
        <v>89718077</v>
      </c>
      <c r="G12" s="36">
        <v>85.5618257522583</v>
      </c>
      <c r="H12" s="34" t="s">
        <v>69</v>
      </c>
      <c r="I12" s="34" t="s">
        <v>44</v>
      </c>
    </row>
    <row r="13" spans="1:9">
      <c r="A13" s="37">
        <v>44</v>
      </c>
      <c r="B13" s="37" t="s">
        <v>23</v>
      </c>
      <c r="C13" s="37" t="s">
        <v>53</v>
      </c>
      <c r="D13" s="37">
        <v>100</v>
      </c>
      <c r="E13" s="37" t="s">
        <v>70</v>
      </c>
      <c r="F13" s="38">
        <v>89718077</v>
      </c>
      <c r="G13" s="39">
        <v>85.5618257522583</v>
      </c>
      <c r="H13" s="37" t="s">
        <v>71</v>
      </c>
      <c r="I13" s="37" t="s">
        <v>44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5"/>
  <sheetViews>
    <sheetView showGridLines="0" workbookViewId="0">
      <selection activeCell="B13" sqref="B13"/>
    </sheetView>
  </sheetViews>
  <sheetFormatPr defaultColWidth="9" defaultRowHeight="13.8"/>
  <cols>
    <col min="1" max="1" width="21.3333333333333" customWidth="1"/>
    <col min="2" max="2" width="109.333333333333" customWidth="1"/>
    <col min="3" max="4" width="15" customWidth="1"/>
    <col min="5" max="5" width="24" customWidth="1"/>
    <col min="6" max="6" width="9" customWidth="1"/>
    <col min="7" max="7" width="15" customWidth="1"/>
    <col min="8" max="8" width="12" customWidth="1"/>
    <col min="9" max="9" width="15" customWidth="1"/>
    <col min="10" max="11" width="12" customWidth="1"/>
    <col min="12" max="13" width="13" customWidth="1"/>
    <col min="14" max="16" width="9" customWidth="1"/>
    <col min="17" max="17" width="11" customWidth="1"/>
    <col min="18" max="18" width="52" customWidth="1"/>
    <col min="19" max="19" width="72" customWidth="1"/>
    <col min="20" max="20" width="34" customWidth="1"/>
  </cols>
  <sheetData>
    <row r="1" s="12" customFormat="1" ht="44" customHeight="1" spans="1:20">
      <c r="A1" s="13" t="s">
        <v>72</v>
      </c>
      <c r="B1" s="13" t="s">
        <v>73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22"/>
    </row>
    <row r="2" ht="30" customHeight="1" spans="1:20">
      <c r="A2" s="15" t="s">
        <v>74</v>
      </c>
      <c r="B2" s="15" t="s">
        <v>75</v>
      </c>
      <c r="C2" s="16"/>
      <c r="D2" s="16"/>
      <c r="E2" s="16"/>
      <c r="F2" s="17"/>
      <c r="G2" s="17"/>
      <c r="H2" s="17"/>
      <c r="I2" s="20"/>
      <c r="J2" s="20"/>
      <c r="K2" s="20"/>
      <c r="L2" s="20"/>
      <c r="M2" s="20"/>
      <c r="N2" s="17"/>
      <c r="O2" s="17"/>
      <c r="P2" s="17"/>
      <c r="Q2" s="16"/>
      <c r="R2" s="23"/>
      <c r="S2" s="23"/>
      <c r="T2" s="23"/>
    </row>
    <row r="3" ht="30" customHeight="1" spans="1:20">
      <c r="A3" s="15" t="s">
        <v>76</v>
      </c>
      <c r="B3" s="15" t="s">
        <v>77</v>
      </c>
      <c r="C3" s="18"/>
      <c r="D3" s="18"/>
      <c r="E3" s="18"/>
      <c r="F3" s="19"/>
      <c r="G3" s="19"/>
      <c r="H3" s="19"/>
      <c r="I3" s="21"/>
      <c r="J3" s="21"/>
      <c r="K3" s="21"/>
      <c r="L3" s="21"/>
      <c r="M3" s="21"/>
      <c r="N3" s="19"/>
      <c r="O3" s="19"/>
      <c r="P3" s="19"/>
      <c r="Q3" s="18"/>
      <c r="R3" s="24"/>
      <c r="S3" s="24"/>
      <c r="T3" s="24"/>
    </row>
    <row r="4" ht="30" customHeight="1" spans="1:20">
      <c r="A4" s="15" t="s">
        <v>78</v>
      </c>
      <c r="B4" s="15" t="s">
        <v>79</v>
      </c>
      <c r="C4" s="18"/>
      <c r="D4" s="18"/>
      <c r="E4" s="18"/>
      <c r="F4" s="19"/>
      <c r="G4" s="19"/>
      <c r="H4" s="19"/>
      <c r="I4" s="21"/>
      <c r="J4" s="21"/>
      <c r="K4" s="21"/>
      <c r="L4" s="21"/>
      <c r="M4" s="21"/>
      <c r="N4" s="19"/>
      <c r="O4" s="19"/>
      <c r="P4" s="19"/>
      <c r="Q4" s="18"/>
      <c r="R4" s="24"/>
      <c r="S4" s="24"/>
      <c r="T4" s="24"/>
    </row>
    <row r="5" ht="30" customHeight="1" spans="1:20">
      <c r="A5" s="15" t="s">
        <v>5</v>
      </c>
      <c r="B5" s="15">
        <v>1611583527</v>
      </c>
      <c r="C5" s="18"/>
      <c r="D5" s="18"/>
      <c r="E5" s="18"/>
      <c r="F5" s="19"/>
      <c r="G5" s="19"/>
      <c r="H5" s="19"/>
      <c r="I5" s="21"/>
      <c r="J5" s="21"/>
      <c r="K5" s="21"/>
      <c r="L5" s="21"/>
      <c r="M5" s="21"/>
      <c r="N5" s="19"/>
      <c r="O5" s="19"/>
      <c r="P5" s="19"/>
      <c r="Q5" s="18"/>
      <c r="R5" s="24"/>
      <c r="S5" s="24"/>
      <c r="T5" s="24"/>
    </row>
    <row r="6" ht="30" customHeight="1" spans="1:20">
      <c r="A6" s="15" t="s">
        <v>80</v>
      </c>
      <c r="B6" s="15" t="s">
        <v>81</v>
      </c>
      <c r="C6" s="18"/>
      <c r="D6" s="18"/>
      <c r="E6" s="18"/>
      <c r="F6" s="19"/>
      <c r="G6" s="19"/>
      <c r="H6" s="19"/>
      <c r="I6" s="21"/>
      <c r="J6" s="21"/>
      <c r="K6" s="21"/>
      <c r="L6" s="21"/>
      <c r="M6" s="21"/>
      <c r="N6" s="19"/>
      <c r="O6" s="19"/>
      <c r="P6" s="19"/>
      <c r="Q6" s="18"/>
      <c r="R6" s="24"/>
      <c r="S6" s="24"/>
      <c r="T6" s="24"/>
    </row>
    <row r="7" ht="30" customHeight="1" spans="1:20">
      <c r="A7" s="15" t="s">
        <v>82</v>
      </c>
      <c r="B7" s="15" t="s">
        <v>83</v>
      </c>
      <c r="C7" s="18"/>
      <c r="D7" s="18"/>
      <c r="E7" s="18"/>
      <c r="F7" s="19"/>
      <c r="G7" s="19"/>
      <c r="H7" s="19"/>
      <c r="I7" s="21"/>
      <c r="J7" s="21"/>
      <c r="K7" s="21"/>
      <c r="L7" s="21"/>
      <c r="M7" s="21"/>
      <c r="N7" s="19"/>
      <c r="O7" s="19"/>
      <c r="P7" s="19"/>
      <c r="Q7" s="18"/>
      <c r="R7" s="24"/>
      <c r="S7" s="24"/>
      <c r="T7" s="24"/>
    </row>
    <row r="8" ht="30" customHeight="1" spans="1:20">
      <c r="A8" s="15" t="s">
        <v>84</v>
      </c>
      <c r="B8" s="15" t="s">
        <v>85</v>
      </c>
      <c r="C8" s="18"/>
      <c r="D8" s="18"/>
      <c r="E8" s="18"/>
      <c r="F8" s="19"/>
      <c r="G8" s="19"/>
      <c r="H8" s="19"/>
      <c r="I8" s="21"/>
      <c r="J8" s="21"/>
      <c r="K8" s="21"/>
      <c r="L8" s="21"/>
      <c r="M8" s="21"/>
      <c r="N8" s="19"/>
      <c r="O8" s="19"/>
      <c r="P8" s="19"/>
      <c r="Q8" s="18"/>
      <c r="R8" s="24"/>
      <c r="S8" s="24"/>
      <c r="T8" s="24"/>
    </row>
    <row r="9" ht="30" customHeight="1" spans="1:20">
      <c r="A9" s="15" t="s">
        <v>86</v>
      </c>
      <c r="B9" s="15" t="s">
        <v>87</v>
      </c>
      <c r="C9" s="18"/>
      <c r="D9" s="18"/>
      <c r="E9" s="18"/>
      <c r="F9" s="19"/>
      <c r="G9" s="19"/>
      <c r="H9" s="19"/>
      <c r="I9" s="21"/>
      <c r="J9" s="21"/>
      <c r="K9" s="21"/>
      <c r="L9" s="21"/>
      <c r="M9" s="21"/>
      <c r="N9" s="19"/>
      <c r="O9" s="19"/>
      <c r="P9" s="19"/>
      <c r="Q9" s="18"/>
      <c r="R9" s="24"/>
      <c r="S9" s="24"/>
      <c r="T9" s="24"/>
    </row>
    <row r="10" ht="30" customHeight="1" spans="1:20">
      <c r="A10" s="17"/>
      <c r="B10" s="17"/>
      <c r="C10" s="18"/>
      <c r="D10" s="18"/>
      <c r="E10" s="18"/>
      <c r="F10" s="19"/>
      <c r="G10" s="19"/>
      <c r="H10" s="19"/>
      <c r="I10" s="21"/>
      <c r="J10" s="21"/>
      <c r="K10" s="21"/>
      <c r="L10" s="21"/>
      <c r="M10" s="21"/>
      <c r="N10" s="19"/>
      <c r="O10" s="19"/>
      <c r="P10" s="19"/>
      <c r="Q10" s="18"/>
      <c r="R10" s="24"/>
      <c r="S10" s="24"/>
      <c r="T10" s="24"/>
    </row>
    <row r="11" ht="30" customHeight="1" spans="1:20">
      <c r="A11" s="19"/>
      <c r="B11" s="19"/>
      <c r="C11" s="18"/>
      <c r="D11" s="18"/>
      <c r="E11" s="18"/>
      <c r="F11" s="19"/>
      <c r="G11" s="19"/>
      <c r="H11" s="19"/>
      <c r="I11" s="21"/>
      <c r="J11" s="21"/>
      <c r="K11" s="21"/>
      <c r="L11" s="21"/>
      <c r="M11" s="21"/>
      <c r="N11" s="19"/>
      <c r="O11" s="19"/>
      <c r="P11" s="19"/>
      <c r="Q11" s="18"/>
      <c r="R11" s="24"/>
      <c r="S11" s="24"/>
      <c r="T11" s="24"/>
    </row>
    <row r="12" ht="30" customHeight="1" spans="1:20">
      <c r="A12" s="19"/>
      <c r="B12" s="19"/>
      <c r="C12" s="18"/>
      <c r="D12" s="18"/>
      <c r="E12" s="18"/>
      <c r="F12" s="19"/>
      <c r="G12" s="19"/>
      <c r="H12" s="19"/>
      <c r="I12" s="21"/>
      <c r="J12" s="21"/>
      <c r="K12" s="21"/>
      <c r="L12" s="21"/>
      <c r="M12" s="21"/>
      <c r="N12" s="19"/>
      <c r="O12" s="19"/>
      <c r="P12" s="19"/>
      <c r="Q12" s="18"/>
      <c r="R12" s="24"/>
      <c r="S12" s="24"/>
      <c r="T12" s="24"/>
    </row>
    <row r="13" ht="30" customHeight="1" spans="1:20">
      <c r="A13" s="19"/>
      <c r="B13" s="19"/>
      <c r="C13" s="18"/>
      <c r="D13" s="18"/>
      <c r="E13" s="18"/>
      <c r="F13" s="19"/>
      <c r="G13" s="19"/>
      <c r="H13" s="19"/>
      <c r="I13" s="21"/>
      <c r="J13" s="21"/>
      <c r="K13" s="21"/>
      <c r="L13" s="21"/>
      <c r="M13" s="21"/>
      <c r="N13" s="19"/>
      <c r="O13" s="19"/>
      <c r="P13" s="19"/>
      <c r="Q13" s="18"/>
      <c r="R13" s="24"/>
      <c r="S13" s="24"/>
      <c r="T13" s="24"/>
    </row>
    <row r="14" ht="30" customHeight="1" spans="1:20">
      <c r="A14" s="19"/>
      <c r="B14" s="19"/>
      <c r="C14" s="18"/>
      <c r="D14" s="18"/>
      <c r="E14" s="18"/>
      <c r="F14" s="19"/>
      <c r="G14" s="19"/>
      <c r="H14" s="19"/>
      <c r="I14" s="21"/>
      <c r="J14" s="21"/>
      <c r="K14" s="21"/>
      <c r="L14" s="21"/>
      <c r="M14" s="21"/>
      <c r="N14" s="19"/>
      <c r="O14" s="19"/>
      <c r="P14" s="19"/>
      <c r="Q14" s="18"/>
      <c r="R14" s="24"/>
      <c r="S14" s="24"/>
      <c r="T14" s="24"/>
    </row>
    <row r="15" ht="30" customHeight="1" spans="1:20">
      <c r="A15" s="19"/>
      <c r="B15" s="19"/>
      <c r="C15" s="18"/>
      <c r="D15" s="18"/>
      <c r="E15" s="18"/>
      <c r="F15" s="19"/>
      <c r="G15" s="19"/>
      <c r="H15" s="19"/>
      <c r="I15" s="21"/>
      <c r="J15" s="21"/>
      <c r="K15" s="21"/>
      <c r="L15" s="21"/>
      <c r="M15" s="21"/>
      <c r="N15" s="19"/>
      <c r="O15" s="19"/>
      <c r="P15" s="19"/>
      <c r="Q15" s="18"/>
      <c r="R15" s="24"/>
      <c r="S15" s="24"/>
      <c r="T15" s="24"/>
    </row>
    <row r="16" ht="30" customHeight="1" spans="1:20">
      <c r="A16" s="19"/>
      <c r="B16" s="19"/>
      <c r="C16" s="18"/>
      <c r="D16" s="18"/>
      <c r="E16" s="18"/>
      <c r="F16" s="19"/>
      <c r="G16" s="19"/>
      <c r="H16" s="19"/>
      <c r="I16" s="21"/>
      <c r="J16" s="21"/>
      <c r="K16" s="21"/>
      <c r="L16" s="21"/>
      <c r="M16" s="21"/>
      <c r="N16" s="19"/>
      <c r="O16" s="19"/>
      <c r="P16" s="19"/>
      <c r="Q16" s="18"/>
      <c r="R16" s="24"/>
      <c r="S16" s="24"/>
      <c r="T16" s="24"/>
    </row>
    <row r="17" ht="30" customHeight="1" spans="1:20">
      <c r="A17" s="19"/>
      <c r="B17" s="19"/>
      <c r="C17" s="18"/>
      <c r="D17" s="18"/>
      <c r="E17" s="18"/>
      <c r="F17" s="19"/>
      <c r="G17" s="19"/>
      <c r="H17" s="19"/>
      <c r="I17" s="21"/>
      <c r="J17" s="21"/>
      <c r="K17" s="21"/>
      <c r="L17" s="21"/>
      <c r="M17" s="21"/>
      <c r="N17" s="19"/>
      <c r="O17" s="19"/>
      <c r="P17" s="19"/>
      <c r="Q17" s="18"/>
      <c r="R17" s="24"/>
      <c r="S17" s="24"/>
      <c r="T17" s="24"/>
    </row>
    <row r="18" ht="30" customHeight="1" spans="1:20">
      <c r="A18" s="19"/>
      <c r="B18" s="19"/>
      <c r="C18" s="18"/>
      <c r="D18" s="18"/>
      <c r="E18" s="18"/>
      <c r="F18" s="19"/>
      <c r="G18" s="19"/>
      <c r="H18" s="19"/>
      <c r="I18" s="21"/>
      <c r="J18" s="21"/>
      <c r="K18" s="21"/>
      <c r="L18" s="21"/>
      <c r="M18" s="21"/>
      <c r="N18" s="19"/>
      <c r="O18" s="19"/>
      <c r="P18" s="19"/>
      <c r="Q18" s="18"/>
      <c r="R18" s="24"/>
      <c r="S18" s="24"/>
      <c r="T18" s="24"/>
    </row>
    <row r="19" ht="30" customHeight="1" spans="1:20">
      <c r="A19" s="19"/>
      <c r="B19" s="19"/>
      <c r="C19" s="18"/>
      <c r="D19" s="18"/>
      <c r="E19" s="18"/>
      <c r="F19" s="19"/>
      <c r="G19" s="19"/>
      <c r="H19" s="19"/>
      <c r="I19" s="21"/>
      <c r="J19" s="21"/>
      <c r="K19" s="21"/>
      <c r="L19" s="21"/>
      <c r="M19" s="21"/>
      <c r="N19" s="19"/>
      <c r="O19" s="19"/>
      <c r="P19" s="19"/>
      <c r="Q19" s="18"/>
      <c r="R19" s="24"/>
      <c r="S19" s="24"/>
      <c r="T19" s="24"/>
    </row>
    <row r="20" ht="30" customHeight="1" spans="1:20">
      <c r="A20" s="19"/>
      <c r="B20" s="19"/>
      <c r="C20" s="18"/>
      <c r="D20" s="18"/>
      <c r="E20" s="18"/>
      <c r="F20" s="19"/>
      <c r="G20" s="19"/>
      <c r="H20" s="19"/>
      <c r="I20" s="21"/>
      <c r="J20" s="21"/>
      <c r="K20" s="21"/>
      <c r="L20" s="21"/>
      <c r="M20" s="21"/>
      <c r="N20" s="19"/>
      <c r="O20" s="19"/>
      <c r="P20" s="19"/>
      <c r="Q20" s="18"/>
      <c r="R20" s="24"/>
      <c r="S20" s="24"/>
      <c r="T20" s="24"/>
    </row>
    <row r="21" ht="30" customHeight="1" spans="1:20">
      <c r="A21" s="19"/>
      <c r="B21" s="19"/>
      <c r="C21" s="18"/>
      <c r="D21" s="18"/>
      <c r="E21" s="18"/>
      <c r="F21" s="19"/>
      <c r="G21" s="19"/>
      <c r="H21" s="19"/>
      <c r="I21" s="21"/>
      <c r="J21" s="21"/>
      <c r="K21" s="21"/>
      <c r="L21" s="21"/>
      <c r="M21" s="21"/>
      <c r="N21" s="19"/>
      <c r="O21" s="19"/>
      <c r="P21" s="19"/>
      <c r="Q21" s="18"/>
      <c r="R21" s="24"/>
      <c r="S21" s="24"/>
      <c r="T21" s="24"/>
    </row>
    <row r="22" ht="30" customHeight="1" spans="1:20">
      <c r="A22" s="19"/>
      <c r="B22" s="19"/>
      <c r="C22" s="18"/>
      <c r="D22" s="18"/>
      <c r="E22" s="18"/>
      <c r="F22" s="19"/>
      <c r="G22" s="19"/>
      <c r="H22" s="19"/>
      <c r="I22" s="21"/>
      <c r="J22" s="21"/>
      <c r="K22" s="21"/>
      <c r="L22" s="21"/>
      <c r="M22" s="21"/>
      <c r="N22" s="19"/>
      <c r="O22" s="19"/>
      <c r="P22" s="19"/>
      <c r="Q22" s="18"/>
      <c r="R22" s="24"/>
      <c r="S22" s="24"/>
      <c r="T22" s="24"/>
    </row>
    <row r="23" ht="30" customHeight="1" spans="1:20">
      <c r="A23" s="19"/>
      <c r="B23" s="19"/>
      <c r="C23" s="18"/>
      <c r="D23" s="18"/>
      <c r="E23" s="18"/>
      <c r="F23" s="19"/>
      <c r="G23" s="19"/>
      <c r="H23" s="19"/>
      <c r="I23" s="21"/>
      <c r="J23" s="21"/>
      <c r="K23" s="21"/>
      <c r="L23" s="21"/>
      <c r="M23" s="21"/>
      <c r="N23" s="19"/>
      <c r="O23" s="19"/>
      <c r="P23" s="19"/>
      <c r="Q23" s="18"/>
      <c r="R23" s="24"/>
      <c r="S23" s="24"/>
      <c r="T23" s="24"/>
    </row>
    <row r="24" ht="30" customHeight="1" spans="1:20">
      <c r="A24" s="19"/>
      <c r="B24" s="19"/>
      <c r="C24" s="18"/>
      <c r="D24" s="18"/>
      <c r="E24" s="18"/>
      <c r="F24" s="19"/>
      <c r="G24" s="19"/>
      <c r="H24" s="19"/>
      <c r="I24" s="21"/>
      <c r="J24" s="21"/>
      <c r="K24" s="21"/>
      <c r="L24" s="21"/>
      <c r="M24" s="21"/>
      <c r="N24" s="19"/>
      <c r="O24" s="19"/>
      <c r="P24" s="19"/>
      <c r="Q24" s="18"/>
      <c r="R24" s="24"/>
      <c r="S24" s="24"/>
      <c r="T24" s="24"/>
    </row>
    <row r="25" ht="30" customHeight="1" spans="1:20">
      <c r="A25" s="19"/>
      <c r="B25" s="19"/>
      <c r="C25" s="18"/>
      <c r="D25" s="18"/>
      <c r="E25" s="18"/>
      <c r="F25" s="19"/>
      <c r="G25" s="19"/>
      <c r="H25" s="19"/>
      <c r="I25" s="21"/>
      <c r="J25" s="21"/>
      <c r="K25" s="21"/>
      <c r="L25" s="21"/>
      <c r="M25" s="21"/>
      <c r="N25" s="19"/>
      <c r="O25" s="19"/>
      <c r="P25" s="19"/>
      <c r="Q25" s="18"/>
      <c r="R25" s="24"/>
      <c r="S25" s="24"/>
      <c r="T25" s="24"/>
    </row>
    <row r="26" ht="30" customHeight="1" spans="1:20">
      <c r="A26" s="19"/>
      <c r="B26" s="19"/>
      <c r="C26" s="18"/>
      <c r="D26" s="18"/>
      <c r="E26" s="18"/>
      <c r="F26" s="19"/>
      <c r="G26" s="19"/>
      <c r="H26" s="19"/>
      <c r="I26" s="21"/>
      <c r="J26" s="21"/>
      <c r="K26" s="21"/>
      <c r="L26" s="21"/>
      <c r="M26" s="21"/>
      <c r="N26" s="19"/>
      <c r="O26" s="19"/>
      <c r="P26" s="19"/>
      <c r="Q26" s="18"/>
      <c r="R26" s="24"/>
      <c r="S26" s="24"/>
      <c r="T26" s="24"/>
    </row>
    <row r="27" ht="30" customHeight="1" spans="1:20">
      <c r="A27" s="19"/>
      <c r="B27" s="19"/>
      <c r="C27" s="18"/>
      <c r="D27" s="18"/>
      <c r="E27" s="18"/>
      <c r="F27" s="19"/>
      <c r="G27" s="19"/>
      <c r="H27" s="19"/>
      <c r="I27" s="21"/>
      <c r="J27" s="21"/>
      <c r="K27" s="21"/>
      <c r="L27" s="21"/>
      <c r="M27" s="21"/>
      <c r="N27" s="19"/>
      <c r="O27" s="19"/>
      <c r="P27" s="19"/>
      <c r="Q27" s="18"/>
      <c r="R27" s="24"/>
      <c r="S27" s="24"/>
      <c r="T27" s="24"/>
    </row>
    <row r="28" ht="30" customHeight="1" spans="1:20">
      <c r="A28" s="19"/>
      <c r="B28" s="19"/>
      <c r="C28" s="18"/>
      <c r="D28" s="18"/>
      <c r="E28" s="18"/>
      <c r="F28" s="19"/>
      <c r="G28" s="19"/>
      <c r="H28" s="19"/>
      <c r="I28" s="21"/>
      <c r="J28" s="21"/>
      <c r="K28" s="21"/>
      <c r="L28" s="21"/>
      <c r="M28" s="21"/>
      <c r="N28" s="19"/>
      <c r="O28" s="19"/>
      <c r="P28" s="19"/>
      <c r="Q28" s="18"/>
      <c r="R28" s="24"/>
      <c r="S28" s="24"/>
      <c r="T28" s="24"/>
    </row>
    <row r="29" ht="30" customHeight="1" spans="1:20">
      <c r="A29" s="19"/>
      <c r="B29" s="19"/>
      <c r="C29" s="18"/>
      <c r="D29" s="18"/>
      <c r="E29" s="18"/>
      <c r="F29" s="19"/>
      <c r="G29" s="19"/>
      <c r="H29" s="19"/>
      <c r="I29" s="21"/>
      <c r="J29" s="21"/>
      <c r="K29" s="21"/>
      <c r="L29" s="21"/>
      <c r="M29" s="21"/>
      <c r="N29" s="19"/>
      <c r="O29" s="19"/>
      <c r="P29" s="19"/>
      <c r="Q29" s="18"/>
      <c r="R29" s="24"/>
      <c r="S29" s="24"/>
      <c r="T29" s="24"/>
    </row>
    <row r="30" ht="30" customHeight="1" spans="1:20">
      <c r="A30" s="19"/>
      <c r="B30" s="19"/>
      <c r="C30" s="18"/>
      <c r="D30" s="18"/>
      <c r="E30" s="18"/>
      <c r="F30" s="19"/>
      <c r="G30" s="19"/>
      <c r="H30" s="19"/>
      <c r="I30" s="21"/>
      <c r="J30" s="21"/>
      <c r="K30" s="21"/>
      <c r="L30" s="21"/>
      <c r="M30" s="21"/>
      <c r="N30" s="19"/>
      <c r="O30" s="19"/>
      <c r="P30" s="19"/>
      <c r="Q30" s="18"/>
      <c r="R30" s="24"/>
      <c r="S30" s="24"/>
      <c r="T30" s="24"/>
    </row>
    <row r="31" ht="30" customHeight="1" spans="1:20">
      <c r="A31" s="19"/>
      <c r="B31" s="19"/>
      <c r="C31" s="18"/>
      <c r="D31" s="18"/>
      <c r="E31" s="18"/>
      <c r="F31" s="19"/>
      <c r="G31" s="19"/>
      <c r="H31" s="19"/>
      <c r="I31" s="21"/>
      <c r="J31" s="21"/>
      <c r="K31" s="21"/>
      <c r="L31" s="21"/>
      <c r="M31" s="21"/>
      <c r="N31" s="19"/>
      <c r="O31" s="19"/>
      <c r="P31" s="19"/>
      <c r="Q31" s="18"/>
      <c r="R31" s="24"/>
      <c r="S31" s="24"/>
      <c r="T31" s="24"/>
    </row>
    <row r="32" ht="30" customHeight="1" spans="1:20">
      <c r="A32" s="19"/>
      <c r="B32" s="19"/>
      <c r="C32" s="18"/>
      <c r="D32" s="18"/>
      <c r="E32" s="18"/>
      <c r="F32" s="19"/>
      <c r="G32" s="19"/>
      <c r="H32" s="19"/>
      <c r="I32" s="21"/>
      <c r="J32" s="21"/>
      <c r="K32" s="21"/>
      <c r="L32" s="21"/>
      <c r="M32" s="21"/>
      <c r="N32" s="19"/>
      <c r="O32" s="19"/>
      <c r="P32" s="19"/>
      <c r="Q32" s="18"/>
      <c r="R32" s="24"/>
      <c r="S32" s="24"/>
      <c r="T32" s="24"/>
    </row>
    <row r="33" ht="30" customHeight="1" spans="1:20">
      <c r="A33" s="19"/>
      <c r="B33" s="19"/>
      <c r="C33" s="18"/>
      <c r="D33" s="18"/>
      <c r="E33" s="18"/>
      <c r="F33" s="19"/>
      <c r="G33" s="19"/>
      <c r="H33" s="19"/>
      <c r="I33" s="21"/>
      <c r="J33" s="21"/>
      <c r="K33" s="21"/>
      <c r="L33" s="21"/>
      <c r="M33" s="21"/>
      <c r="N33" s="19"/>
      <c r="O33" s="19"/>
      <c r="P33" s="19"/>
      <c r="Q33" s="18"/>
      <c r="R33" s="24"/>
      <c r="S33" s="24"/>
      <c r="T33" s="24"/>
    </row>
    <row r="34" ht="30" customHeight="1" spans="1:20">
      <c r="A34" s="19"/>
      <c r="B34" s="19"/>
      <c r="C34" s="18"/>
      <c r="D34" s="18"/>
      <c r="E34" s="18"/>
      <c r="F34" s="19"/>
      <c r="G34" s="19"/>
      <c r="H34" s="19"/>
      <c r="I34" s="21"/>
      <c r="J34" s="21"/>
      <c r="K34" s="21"/>
      <c r="L34" s="21"/>
      <c r="M34" s="21"/>
      <c r="N34" s="19"/>
      <c r="O34" s="19"/>
      <c r="P34" s="19"/>
      <c r="Q34" s="18"/>
      <c r="R34" s="24"/>
      <c r="S34" s="24"/>
      <c r="T34" s="24"/>
    </row>
    <row r="35" ht="30" customHeight="1" spans="1:20">
      <c r="A35" s="19"/>
      <c r="B35" s="19"/>
      <c r="C35" s="18"/>
      <c r="D35" s="18"/>
      <c r="E35" s="18"/>
      <c r="F35" s="19"/>
      <c r="G35" s="19"/>
      <c r="H35" s="19"/>
      <c r="I35" s="21"/>
      <c r="J35" s="21"/>
      <c r="K35" s="21"/>
      <c r="L35" s="21"/>
      <c r="M35" s="21"/>
      <c r="N35" s="19"/>
      <c r="O35" s="19"/>
      <c r="P35" s="19"/>
      <c r="Q35" s="18"/>
      <c r="R35" s="24"/>
      <c r="S35" s="24"/>
      <c r="T35" s="24"/>
    </row>
    <row r="36" ht="30" customHeight="1" spans="1:20">
      <c r="A36" s="19"/>
      <c r="B36" s="19"/>
      <c r="C36" s="18"/>
      <c r="D36" s="18"/>
      <c r="E36" s="18"/>
      <c r="F36" s="19"/>
      <c r="G36" s="19"/>
      <c r="H36" s="19"/>
      <c r="I36" s="21"/>
      <c r="J36" s="21"/>
      <c r="K36" s="21"/>
      <c r="L36" s="21"/>
      <c r="M36" s="21"/>
      <c r="N36" s="19"/>
      <c r="O36" s="19"/>
      <c r="P36" s="19"/>
      <c r="Q36" s="18"/>
      <c r="R36" s="24"/>
      <c r="S36" s="24"/>
      <c r="T36" s="24"/>
    </row>
    <row r="37" ht="30" customHeight="1" spans="1:20">
      <c r="A37" s="19"/>
      <c r="B37" s="19"/>
      <c r="C37" s="18"/>
      <c r="D37" s="18"/>
      <c r="E37" s="18"/>
      <c r="F37" s="19"/>
      <c r="G37" s="19"/>
      <c r="H37" s="19"/>
      <c r="I37" s="21"/>
      <c r="J37" s="21"/>
      <c r="K37" s="21"/>
      <c r="L37" s="21"/>
      <c r="M37" s="21"/>
      <c r="N37" s="19"/>
      <c r="O37" s="19"/>
      <c r="P37" s="19"/>
      <c r="Q37" s="18"/>
      <c r="R37" s="24"/>
      <c r="S37" s="24"/>
      <c r="T37" s="24"/>
    </row>
    <row r="38" ht="30" customHeight="1" spans="1:20">
      <c r="A38" s="19"/>
      <c r="B38" s="19"/>
      <c r="C38" s="18"/>
      <c r="D38" s="18"/>
      <c r="E38" s="18"/>
      <c r="F38" s="19"/>
      <c r="G38" s="19"/>
      <c r="H38" s="19"/>
      <c r="I38" s="21"/>
      <c r="J38" s="21"/>
      <c r="K38" s="21"/>
      <c r="L38" s="21"/>
      <c r="M38" s="21"/>
      <c r="N38" s="19"/>
      <c r="O38" s="19"/>
      <c r="P38" s="19"/>
      <c r="Q38" s="18"/>
      <c r="R38" s="24"/>
      <c r="S38" s="24"/>
      <c r="T38" s="24"/>
    </row>
    <row r="39" ht="30" customHeight="1" spans="1:20">
      <c r="A39" s="19"/>
      <c r="B39" s="19"/>
      <c r="C39" s="18"/>
      <c r="D39" s="18"/>
      <c r="E39" s="18"/>
      <c r="F39" s="19"/>
      <c r="G39" s="19"/>
      <c r="H39" s="19"/>
      <c r="I39" s="21"/>
      <c r="J39" s="21"/>
      <c r="K39" s="21"/>
      <c r="L39" s="21"/>
      <c r="M39" s="21"/>
      <c r="N39" s="19"/>
      <c r="O39" s="19"/>
      <c r="P39" s="19"/>
      <c r="Q39" s="18"/>
      <c r="R39" s="24"/>
      <c r="S39" s="24"/>
      <c r="T39" s="24"/>
    </row>
    <row r="40" ht="30" customHeight="1" spans="1:20">
      <c r="A40" s="19"/>
      <c r="B40" s="19"/>
      <c r="C40" s="18"/>
      <c r="D40" s="18"/>
      <c r="E40" s="18"/>
      <c r="F40" s="19"/>
      <c r="G40" s="19"/>
      <c r="H40" s="19"/>
      <c r="I40" s="21"/>
      <c r="J40" s="21"/>
      <c r="K40" s="21"/>
      <c r="L40" s="21"/>
      <c r="M40" s="21"/>
      <c r="N40" s="19"/>
      <c r="O40" s="19"/>
      <c r="P40" s="19"/>
      <c r="Q40" s="18"/>
      <c r="R40" s="24"/>
      <c r="S40" s="24"/>
      <c r="T40" s="24"/>
    </row>
    <row r="41" ht="30" customHeight="1" spans="1:20">
      <c r="A41" s="19"/>
      <c r="B41" s="19"/>
      <c r="C41" s="18"/>
      <c r="D41" s="18"/>
      <c r="E41" s="18"/>
      <c r="F41" s="19"/>
      <c r="G41" s="19"/>
      <c r="H41" s="19"/>
      <c r="I41" s="21"/>
      <c r="J41" s="21"/>
      <c r="K41" s="21"/>
      <c r="L41" s="21"/>
      <c r="M41" s="21"/>
      <c r="N41" s="19"/>
      <c r="O41" s="19"/>
      <c r="P41" s="19"/>
      <c r="Q41" s="18"/>
      <c r="R41" s="24"/>
      <c r="S41" s="24"/>
      <c r="T41" s="24"/>
    </row>
    <row r="42" ht="30" customHeight="1" spans="1:20">
      <c r="A42" s="19"/>
      <c r="B42" s="19"/>
      <c r="C42" s="18"/>
      <c r="D42" s="18"/>
      <c r="E42" s="18"/>
      <c r="F42" s="19"/>
      <c r="G42" s="19"/>
      <c r="H42" s="19"/>
      <c r="I42" s="21"/>
      <c r="J42" s="21"/>
      <c r="K42" s="21"/>
      <c r="L42" s="21"/>
      <c r="M42" s="21"/>
      <c r="N42" s="19"/>
      <c r="O42" s="19"/>
      <c r="P42" s="19"/>
      <c r="Q42" s="18"/>
      <c r="R42" s="24"/>
      <c r="S42" s="24"/>
      <c r="T42" s="24"/>
    </row>
    <row r="43" ht="30" customHeight="1" spans="1:20">
      <c r="A43" s="19"/>
      <c r="B43" s="19"/>
      <c r="C43" s="18"/>
      <c r="D43" s="18"/>
      <c r="E43" s="18"/>
      <c r="F43" s="19"/>
      <c r="G43" s="19"/>
      <c r="H43" s="19"/>
      <c r="I43" s="21"/>
      <c r="J43" s="21"/>
      <c r="K43" s="21"/>
      <c r="L43" s="21"/>
      <c r="M43" s="21"/>
      <c r="N43" s="19"/>
      <c r="O43" s="19"/>
      <c r="P43" s="19"/>
      <c r="Q43" s="18"/>
      <c r="R43" s="24"/>
      <c r="S43" s="24"/>
      <c r="T43" s="24"/>
    </row>
    <row r="44" ht="30" customHeight="1" spans="1:20">
      <c r="A44" s="19"/>
      <c r="B44" s="19"/>
      <c r="C44" s="18"/>
      <c r="D44" s="18"/>
      <c r="E44" s="18"/>
      <c r="F44" s="19"/>
      <c r="G44" s="19"/>
      <c r="H44" s="19"/>
      <c r="I44" s="21"/>
      <c r="J44" s="21"/>
      <c r="K44" s="21"/>
      <c r="L44" s="21"/>
      <c r="M44" s="21"/>
      <c r="N44" s="19"/>
      <c r="O44" s="19"/>
      <c r="P44" s="19"/>
      <c r="Q44" s="18"/>
      <c r="R44" s="24"/>
      <c r="S44" s="24"/>
      <c r="T44" s="24"/>
    </row>
    <row r="45" ht="30" customHeight="1" spans="1:20">
      <c r="A45" s="19"/>
      <c r="B45" s="19"/>
      <c r="C45" s="18"/>
      <c r="D45" s="18"/>
      <c r="E45" s="18"/>
      <c r="F45" s="19"/>
      <c r="G45" s="19"/>
      <c r="H45" s="19"/>
      <c r="I45" s="21"/>
      <c r="J45" s="21"/>
      <c r="K45" s="21"/>
      <c r="L45" s="21"/>
      <c r="M45" s="21"/>
      <c r="N45" s="19"/>
      <c r="O45" s="19"/>
      <c r="P45" s="19"/>
      <c r="Q45" s="18"/>
      <c r="R45" s="24"/>
      <c r="S45" s="24"/>
      <c r="T45" s="24"/>
    </row>
    <row r="46" ht="30" customHeight="1" spans="1:20">
      <c r="A46" s="19"/>
      <c r="B46" s="19"/>
      <c r="C46" s="18"/>
      <c r="D46" s="18"/>
      <c r="E46" s="18"/>
      <c r="F46" s="19"/>
      <c r="G46" s="19"/>
      <c r="H46" s="19"/>
      <c r="I46" s="21"/>
      <c r="J46" s="21"/>
      <c r="K46" s="21"/>
      <c r="L46" s="21"/>
      <c r="M46" s="21"/>
      <c r="N46" s="19"/>
      <c r="O46" s="19"/>
      <c r="P46" s="19"/>
      <c r="Q46" s="18"/>
      <c r="R46" s="24"/>
      <c r="S46" s="24"/>
      <c r="T46" s="24"/>
    </row>
    <row r="47" ht="30" customHeight="1" spans="1:20">
      <c r="A47" s="19"/>
      <c r="B47" s="19"/>
      <c r="C47" s="18"/>
      <c r="D47" s="18"/>
      <c r="E47" s="18"/>
      <c r="F47" s="19"/>
      <c r="G47" s="19"/>
      <c r="H47" s="19"/>
      <c r="I47" s="21"/>
      <c r="J47" s="21"/>
      <c r="K47" s="21"/>
      <c r="L47" s="21"/>
      <c r="M47" s="21"/>
      <c r="N47" s="19"/>
      <c r="O47" s="19"/>
      <c r="P47" s="19"/>
      <c r="Q47" s="18"/>
      <c r="R47" s="24"/>
      <c r="S47" s="24"/>
      <c r="T47" s="24"/>
    </row>
    <row r="48" ht="30" customHeight="1" spans="1:20">
      <c r="A48" s="19"/>
      <c r="B48" s="19"/>
      <c r="C48" s="18"/>
      <c r="D48" s="18"/>
      <c r="E48" s="18"/>
      <c r="F48" s="19"/>
      <c r="G48" s="19"/>
      <c r="H48" s="19"/>
      <c r="I48" s="21"/>
      <c r="J48" s="21"/>
      <c r="K48" s="21"/>
      <c r="L48" s="21"/>
      <c r="M48" s="21"/>
      <c r="N48" s="19"/>
      <c r="O48" s="19"/>
      <c r="P48" s="19"/>
      <c r="Q48" s="18"/>
      <c r="R48" s="24"/>
      <c r="S48" s="24"/>
      <c r="T48" s="24"/>
    </row>
    <row r="49" ht="30" customHeight="1" spans="1:20">
      <c r="A49" s="19"/>
      <c r="B49" s="19"/>
      <c r="C49" s="18"/>
      <c r="D49" s="18"/>
      <c r="E49" s="18"/>
      <c r="F49" s="19"/>
      <c r="G49" s="19"/>
      <c r="H49" s="19"/>
      <c r="I49" s="21"/>
      <c r="J49" s="21"/>
      <c r="K49" s="21"/>
      <c r="L49" s="21"/>
      <c r="M49" s="21"/>
      <c r="N49" s="19"/>
      <c r="O49" s="19"/>
      <c r="P49" s="19"/>
      <c r="Q49" s="18"/>
      <c r="R49" s="24"/>
      <c r="S49" s="24"/>
      <c r="T49" s="24"/>
    </row>
    <row r="50" ht="30" customHeight="1" spans="1:20">
      <c r="A50" s="19"/>
      <c r="B50" s="19"/>
      <c r="C50" s="18"/>
      <c r="D50" s="18"/>
      <c r="E50" s="18"/>
      <c r="F50" s="19"/>
      <c r="G50" s="19"/>
      <c r="H50" s="19"/>
      <c r="I50" s="21"/>
      <c r="J50" s="21"/>
      <c r="K50" s="21"/>
      <c r="L50" s="21"/>
      <c r="M50" s="21"/>
      <c r="N50" s="19"/>
      <c r="O50" s="19"/>
      <c r="P50" s="19"/>
      <c r="Q50" s="18"/>
      <c r="R50" s="24"/>
      <c r="S50" s="24"/>
      <c r="T50" s="24"/>
    </row>
    <row r="51" ht="30" customHeight="1" spans="1:20">
      <c r="A51" s="19"/>
      <c r="B51" s="19"/>
      <c r="C51" s="18"/>
      <c r="D51" s="18"/>
      <c r="E51" s="18"/>
      <c r="F51" s="19"/>
      <c r="G51" s="19"/>
      <c r="H51" s="19"/>
      <c r="I51" s="21"/>
      <c r="J51" s="21"/>
      <c r="K51" s="21"/>
      <c r="L51" s="21"/>
      <c r="M51" s="21"/>
      <c r="N51" s="19"/>
      <c r="O51" s="19"/>
      <c r="P51" s="19"/>
      <c r="Q51" s="18"/>
      <c r="R51" s="24"/>
      <c r="S51" s="24"/>
      <c r="T51" s="24"/>
    </row>
    <row r="52" ht="30" customHeight="1" spans="1:20">
      <c r="A52" s="19"/>
      <c r="B52" s="19"/>
      <c r="C52" s="18"/>
      <c r="D52" s="18"/>
      <c r="E52" s="18"/>
      <c r="F52" s="19"/>
      <c r="G52" s="19"/>
      <c r="H52" s="19"/>
      <c r="I52" s="21"/>
      <c r="J52" s="21"/>
      <c r="K52" s="21"/>
      <c r="L52" s="21"/>
      <c r="M52" s="21"/>
      <c r="N52" s="19"/>
      <c r="O52" s="19"/>
      <c r="P52" s="19"/>
      <c r="Q52" s="18"/>
      <c r="R52" s="24"/>
      <c r="S52" s="24"/>
      <c r="T52" s="24"/>
    </row>
    <row r="53" ht="30" customHeight="1" spans="1:20">
      <c r="A53" s="19"/>
      <c r="B53" s="19"/>
      <c r="C53" s="18"/>
      <c r="D53" s="18"/>
      <c r="E53" s="18"/>
      <c r="F53" s="19"/>
      <c r="G53" s="19"/>
      <c r="H53" s="19"/>
      <c r="I53" s="21"/>
      <c r="J53" s="21"/>
      <c r="K53" s="21"/>
      <c r="L53" s="21"/>
      <c r="M53" s="21"/>
      <c r="N53" s="19"/>
      <c r="O53" s="19"/>
      <c r="P53" s="19"/>
      <c r="Q53" s="18"/>
      <c r="R53" s="24"/>
      <c r="S53" s="24"/>
      <c r="T53" s="24"/>
    </row>
    <row r="54" ht="30" customHeight="1" spans="1:20">
      <c r="A54" s="19"/>
      <c r="B54" s="19"/>
      <c r="C54" s="18"/>
      <c r="D54" s="18"/>
      <c r="E54" s="18"/>
      <c r="F54" s="19"/>
      <c r="G54" s="19"/>
      <c r="H54" s="19"/>
      <c r="I54" s="21"/>
      <c r="J54" s="21"/>
      <c r="K54" s="21"/>
      <c r="L54" s="21"/>
      <c r="M54" s="21"/>
      <c r="N54" s="19"/>
      <c r="O54" s="19"/>
      <c r="P54" s="19"/>
      <c r="Q54" s="18"/>
      <c r="R54" s="24"/>
      <c r="S54" s="24"/>
      <c r="T54" s="24"/>
    </row>
    <row r="55" ht="30" customHeight="1" spans="1:20">
      <c r="A55" s="19"/>
      <c r="B55" s="19"/>
      <c r="C55" s="18"/>
      <c r="D55" s="18"/>
      <c r="E55" s="18"/>
      <c r="F55" s="19"/>
      <c r="G55" s="19"/>
      <c r="H55" s="19"/>
      <c r="I55" s="21"/>
      <c r="J55" s="21"/>
      <c r="K55" s="21"/>
      <c r="L55" s="21"/>
      <c r="M55" s="21"/>
      <c r="N55" s="19"/>
      <c r="O55" s="19"/>
      <c r="P55" s="19"/>
      <c r="Q55" s="18"/>
      <c r="R55" s="24"/>
      <c r="S55" s="24"/>
      <c r="T55" s="24"/>
    </row>
    <row r="56" ht="30" customHeight="1" spans="1:20">
      <c r="A56" s="19"/>
      <c r="B56" s="19"/>
      <c r="C56" s="18"/>
      <c r="D56" s="18"/>
      <c r="E56" s="18"/>
      <c r="F56" s="19"/>
      <c r="G56" s="19"/>
      <c r="H56" s="19"/>
      <c r="I56" s="21"/>
      <c r="J56" s="21"/>
      <c r="K56" s="21"/>
      <c r="L56" s="21"/>
      <c r="M56" s="21"/>
      <c r="N56" s="19"/>
      <c r="O56" s="19"/>
      <c r="P56" s="19"/>
      <c r="Q56" s="18"/>
      <c r="R56" s="24"/>
      <c r="S56" s="24"/>
      <c r="T56" s="24"/>
    </row>
    <row r="57" ht="30" customHeight="1" spans="1:20">
      <c r="A57" s="19"/>
      <c r="B57" s="19"/>
      <c r="C57" s="18"/>
      <c r="D57" s="18"/>
      <c r="E57" s="18"/>
      <c r="F57" s="19"/>
      <c r="G57" s="19"/>
      <c r="H57" s="19"/>
      <c r="I57" s="21"/>
      <c r="J57" s="21"/>
      <c r="K57" s="21"/>
      <c r="L57" s="21"/>
      <c r="M57" s="21"/>
      <c r="N57" s="19"/>
      <c r="O57" s="19"/>
      <c r="P57" s="19"/>
      <c r="Q57" s="18"/>
      <c r="R57" s="24"/>
      <c r="S57" s="24"/>
      <c r="T57" s="24"/>
    </row>
    <row r="58" ht="30" customHeight="1" spans="1:20">
      <c r="A58" s="19"/>
      <c r="B58" s="19"/>
      <c r="C58" s="18"/>
      <c r="D58" s="18"/>
      <c r="E58" s="18"/>
      <c r="F58" s="19"/>
      <c r="G58" s="19"/>
      <c r="H58" s="19"/>
      <c r="I58" s="21"/>
      <c r="J58" s="21"/>
      <c r="K58" s="21"/>
      <c r="L58" s="21"/>
      <c r="M58" s="21"/>
      <c r="N58" s="19"/>
      <c r="O58" s="19"/>
      <c r="P58" s="19"/>
      <c r="Q58" s="18"/>
      <c r="R58" s="24"/>
      <c r="S58" s="24"/>
      <c r="T58" s="24"/>
    </row>
    <row r="59" ht="30" customHeight="1" spans="1:20">
      <c r="A59" s="19"/>
      <c r="B59" s="19"/>
      <c r="C59" s="18"/>
      <c r="D59" s="18"/>
      <c r="E59" s="18"/>
      <c r="F59" s="19"/>
      <c r="G59" s="19"/>
      <c r="H59" s="19"/>
      <c r="I59" s="21"/>
      <c r="J59" s="21"/>
      <c r="K59" s="21"/>
      <c r="L59" s="21"/>
      <c r="M59" s="21"/>
      <c r="N59" s="19"/>
      <c r="O59" s="19"/>
      <c r="P59" s="19"/>
      <c r="Q59" s="18"/>
      <c r="R59" s="24"/>
      <c r="S59" s="24"/>
      <c r="T59" s="24"/>
    </row>
    <row r="60" ht="30" customHeight="1" spans="1:20">
      <c r="A60" s="19"/>
      <c r="B60" s="19"/>
      <c r="C60" s="18"/>
      <c r="D60" s="18"/>
      <c r="E60" s="18"/>
      <c r="F60" s="19"/>
      <c r="G60" s="19"/>
      <c r="H60" s="19"/>
      <c r="I60" s="21"/>
      <c r="J60" s="21"/>
      <c r="K60" s="21"/>
      <c r="L60" s="21"/>
      <c r="M60" s="21"/>
      <c r="N60" s="19"/>
      <c r="O60" s="19"/>
      <c r="P60" s="19"/>
      <c r="Q60" s="18"/>
      <c r="R60" s="24"/>
      <c r="S60" s="24"/>
      <c r="T60" s="24"/>
    </row>
    <row r="61" ht="30" customHeight="1" spans="1:20">
      <c r="A61" s="19"/>
      <c r="B61" s="19"/>
      <c r="C61" s="18"/>
      <c r="D61" s="18"/>
      <c r="E61" s="18"/>
      <c r="F61" s="19"/>
      <c r="G61" s="19"/>
      <c r="H61" s="19"/>
      <c r="I61" s="21"/>
      <c r="J61" s="21"/>
      <c r="K61" s="21"/>
      <c r="L61" s="21"/>
      <c r="M61" s="21"/>
      <c r="N61" s="19"/>
      <c r="O61" s="19"/>
      <c r="P61" s="19"/>
      <c r="Q61" s="18"/>
      <c r="R61" s="24"/>
      <c r="S61" s="24"/>
      <c r="T61" s="24"/>
    </row>
    <row r="62" ht="30" customHeight="1" spans="1:20">
      <c r="A62" s="19"/>
      <c r="B62" s="19"/>
      <c r="C62" s="18"/>
      <c r="D62" s="18"/>
      <c r="E62" s="18"/>
      <c r="F62" s="19"/>
      <c r="G62" s="19"/>
      <c r="H62" s="19"/>
      <c r="I62" s="21"/>
      <c r="J62" s="21"/>
      <c r="K62" s="21"/>
      <c r="L62" s="21"/>
      <c r="M62" s="21"/>
      <c r="N62" s="19"/>
      <c r="O62" s="19"/>
      <c r="P62" s="19"/>
      <c r="Q62" s="18"/>
      <c r="R62" s="24"/>
      <c r="S62" s="24"/>
      <c r="T62" s="24"/>
    </row>
    <row r="63" ht="30" customHeight="1" spans="1:20">
      <c r="A63" s="19"/>
      <c r="B63" s="19"/>
      <c r="C63" s="18"/>
      <c r="D63" s="18"/>
      <c r="E63" s="18"/>
      <c r="F63" s="19"/>
      <c r="G63" s="19"/>
      <c r="H63" s="19"/>
      <c r="I63" s="21"/>
      <c r="J63" s="21"/>
      <c r="K63" s="21"/>
      <c r="L63" s="21"/>
      <c r="M63" s="21"/>
      <c r="N63" s="19"/>
      <c r="O63" s="19"/>
      <c r="P63" s="19"/>
      <c r="Q63" s="18"/>
      <c r="R63" s="24"/>
      <c r="S63" s="24"/>
      <c r="T63" s="24"/>
    </row>
    <row r="64" ht="30" customHeight="1" spans="1:20">
      <c r="A64" s="19"/>
      <c r="B64" s="19"/>
      <c r="C64" s="18"/>
      <c r="D64" s="18"/>
      <c r="E64" s="18"/>
      <c r="F64" s="19"/>
      <c r="G64" s="19"/>
      <c r="H64" s="19"/>
      <c r="I64" s="21"/>
      <c r="J64" s="21"/>
      <c r="K64" s="21"/>
      <c r="L64" s="21"/>
      <c r="M64" s="21"/>
      <c r="N64" s="19"/>
      <c r="O64" s="19"/>
      <c r="P64" s="19"/>
      <c r="Q64" s="18"/>
      <c r="R64" s="24"/>
      <c r="S64" s="24"/>
      <c r="T64" s="24"/>
    </row>
    <row r="65" ht="30" customHeight="1" spans="1:20">
      <c r="A65" s="19"/>
      <c r="B65" s="19"/>
      <c r="C65" s="18"/>
      <c r="D65" s="18"/>
      <c r="E65" s="18"/>
      <c r="F65" s="19"/>
      <c r="G65" s="19"/>
      <c r="H65" s="19"/>
      <c r="I65" s="21"/>
      <c r="J65" s="21"/>
      <c r="K65" s="21"/>
      <c r="L65" s="21"/>
      <c r="M65" s="21"/>
      <c r="N65" s="19"/>
      <c r="O65" s="19"/>
      <c r="P65" s="19"/>
      <c r="Q65" s="18"/>
      <c r="R65" s="24"/>
      <c r="S65" s="24"/>
      <c r="T65" s="24"/>
    </row>
    <row r="66" ht="30" customHeight="1" spans="1:20">
      <c r="A66" s="19"/>
      <c r="B66" s="19"/>
      <c r="C66" s="18"/>
      <c r="D66" s="18"/>
      <c r="E66" s="18"/>
      <c r="F66" s="19"/>
      <c r="G66" s="19"/>
      <c r="H66" s="19"/>
      <c r="I66" s="21"/>
      <c r="J66" s="21"/>
      <c r="K66" s="21"/>
      <c r="L66" s="21"/>
      <c r="M66" s="21"/>
      <c r="N66" s="19"/>
      <c r="O66" s="19"/>
      <c r="P66" s="19"/>
      <c r="Q66" s="18"/>
      <c r="R66" s="24"/>
      <c r="S66" s="24"/>
      <c r="T66" s="24"/>
    </row>
    <row r="67" ht="30" customHeight="1" spans="1:20">
      <c r="A67" s="19"/>
      <c r="B67" s="19"/>
      <c r="C67" s="18"/>
      <c r="D67" s="18"/>
      <c r="E67" s="18"/>
      <c r="F67" s="19"/>
      <c r="G67" s="19"/>
      <c r="H67" s="19"/>
      <c r="I67" s="21"/>
      <c r="J67" s="21"/>
      <c r="K67" s="21"/>
      <c r="L67" s="21"/>
      <c r="M67" s="21"/>
      <c r="N67" s="19"/>
      <c r="O67" s="19"/>
      <c r="P67" s="19"/>
      <c r="Q67" s="18"/>
      <c r="R67" s="24"/>
      <c r="S67" s="24"/>
      <c r="T67" s="24"/>
    </row>
    <row r="68" ht="30" customHeight="1" spans="1:20">
      <c r="A68" s="19"/>
      <c r="B68" s="19"/>
      <c r="C68" s="18"/>
      <c r="D68" s="18"/>
      <c r="E68" s="18"/>
      <c r="F68" s="19"/>
      <c r="G68" s="19"/>
      <c r="H68" s="19"/>
      <c r="I68" s="21"/>
      <c r="J68" s="21"/>
      <c r="K68" s="21"/>
      <c r="L68" s="21"/>
      <c r="M68" s="21"/>
      <c r="N68" s="19"/>
      <c r="O68" s="19"/>
      <c r="P68" s="19"/>
      <c r="Q68" s="18"/>
      <c r="R68" s="24"/>
      <c r="S68" s="24"/>
      <c r="T68" s="24"/>
    </row>
    <row r="69" ht="30" customHeight="1" spans="1:20">
      <c r="A69" s="19"/>
      <c r="B69" s="19"/>
      <c r="C69" s="18"/>
      <c r="D69" s="18"/>
      <c r="E69" s="18"/>
      <c r="F69" s="19"/>
      <c r="G69" s="19"/>
      <c r="H69" s="19"/>
      <c r="I69" s="21"/>
      <c r="J69" s="21"/>
      <c r="K69" s="21"/>
      <c r="L69" s="21"/>
      <c r="M69" s="21"/>
      <c r="N69" s="19"/>
      <c r="O69" s="19"/>
      <c r="P69" s="19"/>
      <c r="Q69" s="18"/>
      <c r="R69" s="24"/>
      <c r="S69" s="24"/>
      <c r="T69" s="24"/>
    </row>
    <row r="70" ht="30" customHeight="1" spans="1:20">
      <c r="A70" s="19"/>
      <c r="B70" s="19"/>
      <c r="C70" s="18"/>
      <c r="D70" s="18"/>
      <c r="E70" s="18"/>
      <c r="F70" s="19"/>
      <c r="G70" s="19"/>
      <c r="H70" s="19"/>
      <c r="I70" s="21"/>
      <c r="J70" s="21"/>
      <c r="K70" s="21"/>
      <c r="L70" s="21"/>
      <c r="M70" s="21"/>
      <c r="N70" s="19"/>
      <c r="O70" s="19"/>
      <c r="P70" s="19"/>
      <c r="Q70" s="18"/>
      <c r="R70" s="24"/>
      <c r="S70" s="24"/>
      <c r="T70" s="24"/>
    </row>
    <row r="71" ht="30" customHeight="1" spans="1:20">
      <c r="A71" s="19"/>
      <c r="B71" s="19"/>
      <c r="C71" s="18"/>
      <c r="D71" s="18"/>
      <c r="E71" s="18"/>
      <c r="F71" s="19"/>
      <c r="G71" s="19"/>
      <c r="H71" s="19"/>
      <c r="I71" s="21"/>
      <c r="J71" s="21"/>
      <c r="K71" s="21"/>
      <c r="L71" s="21"/>
      <c r="M71" s="21"/>
      <c r="N71" s="19"/>
      <c r="O71" s="19"/>
      <c r="P71" s="19"/>
      <c r="Q71" s="18"/>
      <c r="R71" s="24"/>
      <c r="S71" s="24"/>
      <c r="T71" s="24"/>
    </row>
    <row r="72" ht="30" customHeight="1" spans="1:20">
      <c r="A72" s="19"/>
      <c r="B72" s="19"/>
      <c r="C72" s="18"/>
      <c r="D72" s="18"/>
      <c r="E72" s="18"/>
      <c r="F72" s="19"/>
      <c r="G72" s="19"/>
      <c r="H72" s="19"/>
      <c r="I72" s="21"/>
      <c r="J72" s="21"/>
      <c r="K72" s="21"/>
      <c r="L72" s="21"/>
      <c r="M72" s="21"/>
      <c r="N72" s="19"/>
      <c r="O72" s="19"/>
      <c r="P72" s="19"/>
      <c r="Q72" s="18"/>
      <c r="R72" s="24"/>
      <c r="S72" s="24"/>
      <c r="T72" s="24"/>
    </row>
    <row r="73" ht="30" customHeight="1" spans="1:20">
      <c r="A73" s="19"/>
      <c r="B73" s="19"/>
      <c r="C73" s="18"/>
      <c r="D73" s="18"/>
      <c r="E73" s="18"/>
      <c r="F73" s="19"/>
      <c r="G73" s="19"/>
      <c r="H73" s="19"/>
      <c r="I73" s="21"/>
      <c r="J73" s="21"/>
      <c r="K73" s="21"/>
      <c r="L73" s="21"/>
      <c r="M73" s="21"/>
      <c r="N73" s="19"/>
      <c r="O73" s="19"/>
      <c r="P73" s="19"/>
      <c r="Q73" s="18"/>
      <c r="R73" s="24"/>
      <c r="S73" s="24"/>
      <c r="T73" s="24"/>
    </row>
    <row r="74" ht="30" customHeight="1" spans="1:20">
      <c r="A74" s="19"/>
      <c r="B74" s="19"/>
      <c r="C74" s="18"/>
      <c r="D74" s="18"/>
      <c r="E74" s="18"/>
      <c r="F74" s="19"/>
      <c r="G74" s="19"/>
      <c r="H74" s="19"/>
      <c r="I74" s="21"/>
      <c r="J74" s="21"/>
      <c r="K74" s="21"/>
      <c r="L74" s="21"/>
      <c r="M74" s="21"/>
      <c r="N74" s="19"/>
      <c r="O74" s="19"/>
      <c r="P74" s="19"/>
      <c r="Q74" s="18"/>
      <c r="R74" s="24"/>
      <c r="S74" s="24"/>
      <c r="T74" s="24"/>
    </row>
    <row r="75" ht="30" customHeight="1" spans="1:20">
      <c r="A75" s="19"/>
      <c r="B75" s="19"/>
      <c r="C75" s="18"/>
      <c r="D75" s="18"/>
      <c r="E75" s="18"/>
      <c r="F75" s="19"/>
      <c r="G75" s="19"/>
      <c r="H75" s="19"/>
      <c r="I75" s="21"/>
      <c r="J75" s="21"/>
      <c r="K75" s="21"/>
      <c r="L75" s="21"/>
      <c r="M75" s="21"/>
      <c r="N75" s="19"/>
      <c r="O75" s="19"/>
      <c r="P75" s="19"/>
      <c r="Q75" s="18"/>
      <c r="R75" s="24"/>
      <c r="S75" s="24"/>
      <c r="T75" s="24"/>
    </row>
    <row r="76" ht="30" customHeight="1" spans="1:20">
      <c r="A76" s="19"/>
      <c r="B76" s="19"/>
      <c r="C76" s="18"/>
      <c r="D76" s="18"/>
      <c r="E76" s="18"/>
      <c r="F76" s="19"/>
      <c r="G76" s="19"/>
      <c r="H76" s="19"/>
      <c r="I76" s="21"/>
      <c r="J76" s="21"/>
      <c r="K76" s="21"/>
      <c r="L76" s="21"/>
      <c r="M76" s="21"/>
      <c r="N76" s="19"/>
      <c r="O76" s="19"/>
      <c r="P76" s="19"/>
      <c r="Q76" s="18"/>
      <c r="R76" s="24"/>
      <c r="S76" s="24"/>
      <c r="T76" s="24"/>
    </row>
    <row r="77" ht="30" customHeight="1" spans="1:20">
      <c r="A77" s="19"/>
      <c r="B77" s="19"/>
      <c r="C77" s="18"/>
      <c r="D77" s="18"/>
      <c r="E77" s="18"/>
      <c r="F77" s="19"/>
      <c r="G77" s="19"/>
      <c r="H77" s="19"/>
      <c r="I77" s="21"/>
      <c r="J77" s="21"/>
      <c r="K77" s="21"/>
      <c r="L77" s="21"/>
      <c r="M77" s="21"/>
      <c r="N77" s="19"/>
      <c r="O77" s="19"/>
      <c r="P77" s="19"/>
      <c r="Q77" s="18"/>
      <c r="R77" s="24"/>
      <c r="S77" s="24"/>
      <c r="T77" s="24"/>
    </row>
    <row r="78" ht="30" customHeight="1" spans="1:20">
      <c r="A78" s="19"/>
      <c r="B78" s="19"/>
      <c r="C78" s="18"/>
      <c r="D78" s="18"/>
      <c r="E78" s="18"/>
      <c r="F78" s="19"/>
      <c r="G78" s="19"/>
      <c r="H78" s="19"/>
      <c r="I78" s="21"/>
      <c r="J78" s="21"/>
      <c r="K78" s="21"/>
      <c r="L78" s="21"/>
      <c r="M78" s="21"/>
      <c r="N78" s="19"/>
      <c r="O78" s="19"/>
      <c r="P78" s="19"/>
      <c r="Q78" s="18"/>
      <c r="R78" s="24"/>
      <c r="S78" s="24"/>
      <c r="T78" s="24"/>
    </row>
    <row r="79" ht="30" customHeight="1" spans="1:20">
      <c r="A79" s="19"/>
      <c r="B79" s="19"/>
      <c r="C79" s="18"/>
      <c r="D79" s="18"/>
      <c r="E79" s="18"/>
      <c r="F79" s="19"/>
      <c r="G79" s="19"/>
      <c r="H79" s="19"/>
      <c r="I79" s="21"/>
      <c r="J79" s="21"/>
      <c r="K79" s="21"/>
      <c r="L79" s="21"/>
      <c r="M79" s="21"/>
      <c r="N79" s="19"/>
      <c r="O79" s="19"/>
      <c r="P79" s="19"/>
      <c r="Q79" s="18"/>
      <c r="R79" s="24"/>
      <c r="S79" s="24"/>
      <c r="T79" s="24"/>
    </row>
    <row r="80" ht="30" customHeight="1" spans="1:20">
      <c r="A80" s="19"/>
      <c r="B80" s="19"/>
      <c r="C80" s="18"/>
      <c r="D80" s="18"/>
      <c r="E80" s="18"/>
      <c r="F80" s="19"/>
      <c r="G80" s="19"/>
      <c r="H80" s="19"/>
      <c r="I80" s="21"/>
      <c r="J80" s="21"/>
      <c r="K80" s="21"/>
      <c r="L80" s="21"/>
      <c r="M80" s="21"/>
      <c r="N80" s="19"/>
      <c r="O80" s="19"/>
      <c r="P80" s="19"/>
      <c r="Q80" s="18"/>
      <c r="R80" s="24"/>
      <c r="S80" s="24"/>
      <c r="T80" s="24"/>
    </row>
    <row r="81" ht="30" customHeight="1" spans="1:20">
      <c r="A81" s="19"/>
      <c r="B81" s="19"/>
      <c r="C81" s="18"/>
      <c r="D81" s="18"/>
      <c r="E81" s="18"/>
      <c r="F81" s="19"/>
      <c r="G81" s="19"/>
      <c r="H81" s="19"/>
      <c r="I81" s="21"/>
      <c r="J81" s="21"/>
      <c r="K81" s="21"/>
      <c r="L81" s="21"/>
      <c r="M81" s="21"/>
      <c r="N81" s="19"/>
      <c r="O81" s="19"/>
      <c r="P81" s="19"/>
      <c r="Q81" s="18"/>
      <c r="R81" s="24"/>
      <c r="S81" s="24"/>
      <c r="T81" s="24"/>
    </row>
    <row r="82" ht="30" customHeight="1" spans="1:20">
      <c r="A82" s="19"/>
      <c r="B82" s="19"/>
      <c r="C82" s="18"/>
      <c r="D82" s="18"/>
      <c r="E82" s="18"/>
      <c r="F82" s="19"/>
      <c r="G82" s="19"/>
      <c r="H82" s="19"/>
      <c r="I82" s="21"/>
      <c r="J82" s="21"/>
      <c r="K82" s="21"/>
      <c r="L82" s="21"/>
      <c r="M82" s="21"/>
      <c r="N82" s="19"/>
      <c r="O82" s="19"/>
      <c r="P82" s="19"/>
      <c r="Q82" s="18"/>
      <c r="R82" s="24"/>
      <c r="S82" s="24"/>
      <c r="T82" s="24"/>
    </row>
    <row r="83" ht="30" customHeight="1" spans="1:20">
      <c r="A83" s="19"/>
      <c r="B83" s="19"/>
      <c r="C83" s="18"/>
      <c r="D83" s="18"/>
      <c r="E83" s="18"/>
      <c r="F83" s="19"/>
      <c r="G83" s="19"/>
      <c r="H83" s="19"/>
      <c r="I83" s="21"/>
      <c r="J83" s="21"/>
      <c r="K83" s="21"/>
      <c r="L83" s="21"/>
      <c r="M83" s="21"/>
      <c r="N83" s="19"/>
      <c r="O83" s="19"/>
      <c r="P83" s="19"/>
      <c r="Q83" s="18"/>
      <c r="R83" s="24"/>
      <c r="S83" s="24"/>
      <c r="T83" s="24"/>
    </row>
    <row r="84" ht="30" customHeight="1" spans="1:20">
      <c r="A84" s="19"/>
      <c r="B84" s="19"/>
      <c r="C84" s="18"/>
      <c r="D84" s="18"/>
      <c r="E84" s="18"/>
      <c r="F84" s="19"/>
      <c r="G84" s="19"/>
      <c r="H84" s="19"/>
      <c r="I84" s="21"/>
      <c r="J84" s="21"/>
      <c r="K84" s="21"/>
      <c r="L84" s="21"/>
      <c r="M84" s="21"/>
      <c r="N84" s="19"/>
      <c r="O84" s="19"/>
      <c r="P84" s="19"/>
      <c r="Q84" s="18"/>
      <c r="R84" s="24"/>
      <c r="S84" s="24"/>
      <c r="T84" s="24"/>
    </row>
    <row r="85" ht="30" customHeight="1" spans="1:20">
      <c r="A85" s="25"/>
      <c r="B85" s="25"/>
      <c r="C85" s="26"/>
      <c r="D85" s="26"/>
      <c r="E85" s="26"/>
      <c r="F85" s="25"/>
      <c r="G85" s="25"/>
      <c r="H85" s="25"/>
      <c r="I85" s="27"/>
      <c r="J85" s="27"/>
      <c r="K85" s="27"/>
      <c r="L85" s="27"/>
      <c r="M85" s="27"/>
      <c r="N85" s="25"/>
      <c r="O85" s="25"/>
      <c r="P85" s="25"/>
      <c r="Q85" s="26"/>
      <c r="R85" s="28"/>
      <c r="S85" s="28"/>
      <c r="T85" s="28"/>
    </row>
  </sheetData>
  <conditionalFormatting sqref="Q2:Q85">
    <cfRule type="containsText" dxfId="38" priority="1" operator="between" text="Missing">
      <formula>NOT(ISERROR(SEARCH("Missing",Q2)))</formula>
    </cfRule>
    <cfRule type="containsText" dxfId="39" priority="2" operator="between" text="Retained">
      <formula>NOT(ISERROR(SEARCH("Retained",Q2)))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"/>
  <sheetViews>
    <sheetView showGridLines="0" workbookViewId="0">
      <selection activeCell="Q11" sqref="Q11"/>
    </sheetView>
  </sheetViews>
  <sheetFormatPr defaultColWidth="9" defaultRowHeight="13.8"/>
  <cols>
    <col min="1" max="1" width="4.25" customWidth="1"/>
    <col min="2" max="2" width="7.4" customWidth="1"/>
    <col min="3" max="3" width="21" customWidth="1"/>
    <col min="4" max="8" width="22" customWidth="1"/>
    <col min="9" max="9" width="4.75" customWidth="1"/>
    <col min="10" max="10" width="12.5" customWidth="1"/>
    <col min="11" max="11" width="8.1" customWidth="1"/>
    <col min="12" max="12" width="7" customWidth="1"/>
    <col min="13" max="13" width="7.75" customWidth="1"/>
    <col min="14" max="14" width="8.88333333333333" customWidth="1"/>
    <col min="15" max="15" width="9.38333333333333" customWidth="1"/>
    <col min="16" max="16" width="15" customWidth="1"/>
    <col min="17" max="17" width="63.6" customWidth="1"/>
  </cols>
  <sheetData>
    <row r="1" ht="30" customHeight="1" spans="1:17">
      <c r="A1" s="8" t="s">
        <v>0</v>
      </c>
      <c r="B1" s="8" t="s">
        <v>34</v>
      </c>
      <c r="C1" s="8" t="s">
        <v>88</v>
      </c>
      <c r="D1" s="8" t="s">
        <v>2</v>
      </c>
      <c r="E1" s="8" t="s">
        <v>33</v>
      </c>
      <c r="F1" s="8" t="s">
        <v>3</v>
      </c>
      <c r="G1" s="8" t="s">
        <v>89</v>
      </c>
      <c r="H1" s="8" t="s">
        <v>90</v>
      </c>
      <c r="I1" s="8" t="s">
        <v>4</v>
      </c>
      <c r="J1" s="8" t="s">
        <v>5</v>
      </c>
      <c r="K1" s="8" t="s">
        <v>91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92</v>
      </c>
      <c r="Q1" s="8" t="s">
        <v>15</v>
      </c>
    </row>
    <row r="2" spans="1:17">
      <c r="A2" s="9">
        <v>42</v>
      </c>
      <c r="B2" s="9">
        <v>100</v>
      </c>
      <c r="C2" s="10" t="s">
        <v>93</v>
      </c>
      <c r="D2" s="10" t="s">
        <v>23</v>
      </c>
      <c r="E2" s="10" t="s">
        <v>94</v>
      </c>
      <c r="F2" s="10" t="s">
        <v>40</v>
      </c>
      <c r="G2" s="10" t="s">
        <v>95</v>
      </c>
      <c r="H2" s="10" t="s">
        <v>96</v>
      </c>
      <c r="I2" s="9">
        <v>1000</v>
      </c>
      <c r="J2" s="9">
        <v>20260714</v>
      </c>
      <c r="K2" s="11">
        <v>0.0101713227331638</v>
      </c>
      <c r="L2" s="11">
        <v>0.470474194296832</v>
      </c>
      <c r="M2" s="11">
        <v>0.0148777003431059</v>
      </c>
      <c r="N2" s="11">
        <v>-0.0189889699393237</v>
      </c>
      <c r="O2" s="11">
        <v>0.0393316154056514</v>
      </c>
      <c r="P2" s="10" t="s">
        <v>97</v>
      </c>
      <c r="Q2" s="10" t="s">
        <v>98</v>
      </c>
    </row>
    <row r="3" spans="1:17">
      <c r="A3" s="9">
        <v>42</v>
      </c>
      <c r="B3" s="9">
        <v>100</v>
      </c>
      <c r="C3" s="10" t="s">
        <v>93</v>
      </c>
      <c r="D3" s="10" t="s">
        <v>23</v>
      </c>
      <c r="E3" s="10" t="s">
        <v>94</v>
      </c>
      <c r="F3" s="10" t="s">
        <v>40</v>
      </c>
      <c r="G3" s="10" t="s">
        <v>99</v>
      </c>
      <c r="H3" s="10" t="s">
        <v>96</v>
      </c>
      <c r="I3" s="9">
        <v>1000</v>
      </c>
      <c r="J3" s="9">
        <v>20260714</v>
      </c>
      <c r="K3" s="11">
        <v>0.0167885497808456</v>
      </c>
      <c r="L3" s="11">
        <v>0.40728571299058</v>
      </c>
      <c r="M3" s="11">
        <v>0.0128795051149586</v>
      </c>
      <c r="N3" s="11">
        <v>-0.00845528024447324</v>
      </c>
      <c r="O3" s="11">
        <v>0.0420323798061645</v>
      </c>
      <c r="P3" s="10" t="s">
        <v>97</v>
      </c>
      <c r="Q3" s="10" t="s">
        <v>98</v>
      </c>
    </row>
    <row r="4" spans="1:17">
      <c r="A4" s="9">
        <v>42</v>
      </c>
      <c r="B4" s="9">
        <v>100</v>
      </c>
      <c r="C4" s="10" t="s">
        <v>93</v>
      </c>
      <c r="D4" s="10" t="s">
        <v>23</v>
      </c>
      <c r="E4" s="10" t="s">
        <v>94</v>
      </c>
      <c r="F4" s="10" t="s">
        <v>40</v>
      </c>
      <c r="G4" s="10" t="s">
        <v>100</v>
      </c>
      <c r="H4" s="10" t="s">
        <v>96</v>
      </c>
      <c r="I4" s="9">
        <v>1000</v>
      </c>
      <c r="J4" s="9">
        <v>20260714</v>
      </c>
      <c r="K4" s="11">
        <v>-0.00661722704768181</v>
      </c>
      <c r="L4" s="11">
        <v>0.34701638001633</v>
      </c>
      <c r="M4" s="11">
        <v>0.0109736214623814</v>
      </c>
      <c r="N4" s="11">
        <v>-0.0281255251139494</v>
      </c>
      <c r="O4" s="11">
        <v>0.0148910710185858</v>
      </c>
      <c r="P4" s="10" t="s">
        <v>97</v>
      </c>
      <c r="Q4" s="10" t="s">
        <v>98</v>
      </c>
    </row>
    <row r="5" spans="1:17">
      <c r="A5" s="9">
        <v>42</v>
      </c>
      <c r="B5" s="9">
        <v>100</v>
      </c>
      <c r="C5" s="10" t="s">
        <v>93</v>
      </c>
      <c r="D5" s="10" t="s">
        <v>49</v>
      </c>
      <c r="E5" s="10" t="s">
        <v>101</v>
      </c>
      <c r="F5" s="10" t="s">
        <v>40</v>
      </c>
      <c r="G5" s="10" t="s">
        <v>95</v>
      </c>
      <c r="H5" s="10" t="s">
        <v>102</v>
      </c>
      <c r="I5" s="9">
        <v>1000</v>
      </c>
      <c r="J5" s="9">
        <v>20260714</v>
      </c>
      <c r="K5" s="11">
        <v>-0.0129159849584103</v>
      </c>
      <c r="L5" s="11">
        <v>0.42855971776508</v>
      </c>
      <c r="M5" s="11">
        <v>0.0135522482153658</v>
      </c>
      <c r="N5" s="11">
        <v>-0.0394783914605272</v>
      </c>
      <c r="O5" s="11">
        <v>0.0136464215437067</v>
      </c>
      <c r="P5" s="10" t="s">
        <v>97</v>
      </c>
      <c r="Q5" s="10" t="s">
        <v>103</v>
      </c>
    </row>
    <row r="6" spans="1:17">
      <c r="A6" s="9">
        <v>42</v>
      </c>
      <c r="B6" s="9">
        <v>100</v>
      </c>
      <c r="C6" s="10" t="s">
        <v>93</v>
      </c>
      <c r="D6" s="10" t="s">
        <v>49</v>
      </c>
      <c r="E6" s="10" t="s">
        <v>101</v>
      </c>
      <c r="F6" s="10" t="s">
        <v>40</v>
      </c>
      <c r="G6" s="10" t="s">
        <v>99</v>
      </c>
      <c r="H6" s="10" t="s">
        <v>102</v>
      </c>
      <c r="I6" s="9">
        <v>1000</v>
      </c>
      <c r="J6" s="9">
        <v>20260714</v>
      </c>
      <c r="K6" s="11">
        <v>-0.0164155784547329</v>
      </c>
      <c r="L6" s="11">
        <v>0.408250372118863</v>
      </c>
      <c r="M6" s="11">
        <v>0.0129100103150691</v>
      </c>
      <c r="N6" s="11">
        <v>-0.0417191986722683</v>
      </c>
      <c r="O6" s="11">
        <v>0.00888804176280253</v>
      </c>
      <c r="P6" s="10" t="s">
        <v>97</v>
      </c>
      <c r="Q6" s="10" t="s">
        <v>103</v>
      </c>
    </row>
    <row r="7" spans="1:17">
      <c r="A7" s="9">
        <v>42</v>
      </c>
      <c r="B7" s="9">
        <v>100</v>
      </c>
      <c r="C7" s="10" t="s">
        <v>93</v>
      </c>
      <c r="D7" s="10" t="s">
        <v>49</v>
      </c>
      <c r="E7" s="10" t="s">
        <v>101</v>
      </c>
      <c r="F7" s="10" t="s">
        <v>40</v>
      </c>
      <c r="G7" s="10" t="s">
        <v>100</v>
      </c>
      <c r="H7" s="10" t="s">
        <v>102</v>
      </c>
      <c r="I7" s="9">
        <v>1000</v>
      </c>
      <c r="J7" s="9">
        <v>20260714</v>
      </c>
      <c r="K7" s="11">
        <v>0.00349959349632263</v>
      </c>
      <c r="L7" s="11">
        <v>0.333406521062527</v>
      </c>
      <c r="M7" s="11">
        <v>0.0105432399331049</v>
      </c>
      <c r="N7" s="11">
        <v>-0.0171651567725629</v>
      </c>
      <c r="O7" s="11">
        <v>0.0241643437652082</v>
      </c>
      <c r="P7" s="10" t="s">
        <v>97</v>
      </c>
      <c r="Q7" s="10" t="s">
        <v>103</v>
      </c>
    </row>
    <row r="8" spans="1:17">
      <c r="A8" s="9">
        <v>42</v>
      </c>
      <c r="B8" s="9">
        <v>100</v>
      </c>
      <c r="C8" s="10" t="s">
        <v>93</v>
      </c>
      <c r="D8" s="10" t="s">
        <v>45</v>
      </c>
      <c r="E8" s="10" t="s">
        <v>104</v>
      </c>
      <c r="F8" s="10" t="s">
        <v>40</v>
      </c>
      <c r="G8" s="10" t="s">
        <v>95</v>
      </c>
      <c r="H8" s="10" t="s">
        <v>105</v>
      </c>
      <c r="I8" s="9">
        <v>1000</v>
      </c>
      <c r="J8" s="9">
        <v>20260714</v>
      </c>
      <c r="K8" s="11">
        <v>0.101563589453697</v>
      </c>
      <c r="L8" s="11">
        <v>0.433637501126511</v>
      </c>
      <c r="M8" s="11">
        <v>0.0137128218242361</v>
      </c>
      <c r="N8" s="11">
        <v>0.0746864586781945</v>
      </c>
      <c r="O8" s="11">
        <v>0.1284407202292</v>
      </c>
      <c r="P8" s="10" t="s">
        <v>106</v>
      </c>
      <c r="Q8" s="10" t="s">
        <v>107</v>
      </c>
    </row>
    <row r="9" spans="1:17">
      <c r="A9" s="9">
        <v>42</v>
      </c>
      <c r="B9" s="9">
        <v>100</v>
      </c>
      <c r="C9" s="10" t="s">
        <v>93</v>
      </c>
      <c r="D9" s="10" t="s">
        <v>45</v>
      </c>
      <c r="E9" s="10" t="s">
        <v>104</v>
      </c>
      <c r="F9" s="10" t="s">
        <v>40</v>
      </c>
      <c r="G9" s="10" t="s">
        <v>99</v>
      </c>
      <c r="H9" s="10" t="s">
        <v>105</v>
      </c>
      <c r="I9" s="9">
        <v>1000</v>
      </c>
      <c r="J9" s="9">
        <v>20260714</v>
      </c>
      <c r="K9" s="11">
        <v>0.0944391224682331</v>
      </c>
      <c r="L9" s="11">
        <v>0.397045308181215</v>
      </c>
      <c r="M9" s="11">
        <v>0.0125556750813613</v>
      </c>
      <c r="N9" s="11">
        <v>0.069829999308765</v>
      </c>
      <c r="O9" s="11">
        <v>0.119048245627701</v>
      </c>
      <c r="P9" s="10" t="s">
        <v>106</v>
      </c>
      <c r="Q9" s="10" t="s">
        <v>107</v>
      </c>
    </row>
    <row r="10" spans="1:17">
      <c r="A10" s="9">
        <v>42</v>
      </c>
      <c r="B10" s="9">
        <v>100</v>
      </c>
      <c r="C10" s="10" t="s">
        <v>93</v>
      </c>
      <c r="D10" s="10" t="s">
        <v>45</v>
      </c>
      <c r="E10" s="10" t="s">
        <v>104</v>
      </c>
      <c r="F10" s="10" t="s">
        <v>40</v>
      </c>
      <c r="G10" s="10" t="s">
        <v>100</v>
      </c>
      <c r="H10" s="10" t="s">
        <v>105</v>
      </c>
      <c r="I10" s="9">
        <v>1000</v>
      </c>
      <c r="J10" s="9">
        <v>20260714</v>
      </c>
      <c r="K10" s="11">
        <v>0.0071244669854641</v>
      </c>
      <c r="L10" s="11">
        <v>0.329708945379369</v>
      </c>
      <c r="M10" s="11">
        <v>0.0104263123233086</v>
      </c>
      <c r="N10" s="11">
        <v>-0.0133111051682207</v>
      </c>
      <c r="O10" s="11">
        <v>0.0275600391391489</v>
      </c>
      <c r="P10" s="10" t="s">
        <v>97</v>
      </c>
      <c r="Q10" s="10" t="s">
        <v>107</v>
      </c>
    </row>
    <row r="11" spans="1:17">
      <c r="A11" s="9">
        <v>42</v>
      </c>
      <c r="B11" s="9">
        <v>120</v>
      </c>
      <c r="C11" s="10" t="s">
        <v>108</v>
      </c>
      <c r="D11" s="10" t="s">
        <v>23</v>
      </c>
      <c r="E11" s="10" t="s">
        <v>94</v>
      </c>
      <c r="F11" s="10" t="s">
        <v>40</v>
      </c>
      <c r="G11" s="10" t="s">
        <v>95</v>
      </c>
      <c r="H11" s="10" t="s">
        <v>96</v>
      </c>
      <c r="I11" s="9">
        <v>1000</v>
      </c>
      <c r="J11" s="9">
        <v>20260714</v>
      </c>
      <c r="K11" s="11">
        <v>0.0595900204181671</v>
      </c>
      <c r="L11" s="11">
        <v>0.505855155980923</v>
      </c>
      <c r="M11" s="11">
        <v>0.0159965445903946</v>
      </c>
      <c r="N11" s="11">
        <v>0.0282367930209936</v>
      </c>
      <c r="O11" s="11">
        <v>0.0909432478153406</v>
      </c>
      <c r="P11" s="10" t="s">
        <v>106</v>
      </c>
      <c r="Q11" s="10" t="s">
        <v>109</v>
      </c>
    </row>
    <row r="12" spans="1:17">
      <c r="A12" s="9">
        <v>42</v>
      </c>
      <c r="B12" s="9">
        <v>120</v>
      </c>
      <c r="C12" s="10" t="s">
        <v>108</v>
      </c>
      <c r="D12" s="10" t="s">
        <v>23</v>
      </c>
      <c r="E12" s="10" t="s">
        <v>94</v>
      </c>
      <c r="F12" s="10" t="s">
        <v>40</v>
      </c>
      <c r="G12" s="10" t="s">
        <v>99</v>
      </c>
      <c r="H12" s="10" t="s">
        <v>96</v>
      </c>
      <c r="I12" s="9">
        <v>1000</v>
      </c>
      <c r="J12" s="9">
        <v>20260714</v>
      </c>
      <c r="K12" s="11">
        <v>0.0659641655385494</v>
      </c>
      <c r="L12" s="11">
        <v>0.430945400194125</v>
      </c>
      <c r="M12" s="11">
        <v>0.013627690117862</v>
      </c>
      <c r="N12" s="11">
        <v>0.0392538929075398</v>
      </c>
      <c r="O12" s="11">
        <v>0.092674438169559</v>
      </c>
      <c r="P12" s="10" t="s">
        <v>106</v>
      </c>
      <c r="Q12" s="10" t="s">
        <v>109</v>
      </c>
    </row>
    <row r="13" spans="1:17">
      <c r="A13" s="9">
        <v>42</v>
      </c>
      <c r="B13" s="9">
        <v>120</v>
      </c>
      <c r="C13" s="10" t="s">
        <v>108</v>
      </c>
      <c r="D13" s="10" t="s">
        <v>23</v>
      </c>
      <c r="E13" s="10" t="s">
        <v>94</v>
      </c>
      <c r="F13" s="10" t="s">
        <v>40</v>
      </c>
      <c r="G13" s="10" t="s">
        <v>100</v>
      </c>
      <c r="H13" s="10" t="s">
        <v>96</v>
      </c>
      <c r="I13" s="9">
        <v>1000</v>
      </c>
      <c r="J13" s="9">
        <v>20260714</v>
      </c>
      <c r="K13" s="11">
        <v>-0.00637414512038231</v>
      </c>
      <c r="L13" s="11">
        <v>0.347719507884575</v>
      </c>
      <c r="M13" s="11">
        <v>0.0109958563178813</v>
      </c>
      <c r="N13" s="11">
        <v>-0.0279260235034297</v>
      </c>
      <c r="O13" s="11">
        <v>0.0151777332626651</v>
      </c>
      <c r="P13" s="10" t="s">
        <v>97</v>
      </c>
      <c r="Q13" s="10" t="s">
        <v>109</v>
      </c>
    </row>
    <row r="14" spans="1:17">
      <c r="A14" s="9">
        <v>42</v>
      </c>
      <c r="B14" s="9">
        <v>120</v>
      </c>
      <c r="C14" s="10" t="s">
        <v>108</v>
      </c>
      <c r="D14" s="10" t="s">
        <v>49</v>
      </c>
      <c r="E14" s="10" t="s">
        <v>101</v>
      </c>
      <c r="F14" s="10" t="s">
        <v>40</v>
      </c>
      <c r="G14" s="10" t="s">
        <v>95</v>
      </c>
      <c r="H14" s="10" t="s">
        <v>102</v>
      </c>
      <c r="I14" s="9">
        <v>1000</v>
      </c>
      <c r="J14" s="9">
        <v>20260714</v>
      </c>
      <c r="K14" s="11">
        <v>0.0386133660674095</v>
      </c>
      <c r="L14" s="11">
        <v>0.467090688308539</v>
      </c>
      <c r="M14" s="11">
        <v>0.0147707044891076</v>
      </c>
      <c r="N14" s="11">
        <v>0.00966278526875854</v>
      </c>
      <c r="O14" s="11">
        <v>0.0675639468660605</v>
      </c>
      <c r="P14" s="10" t="s">
        <v>106</v>
      </c>
      <c r="Q14" s="10" t="s">
        <v>110</v>
      </c>
    </row>
    <row r="15" spans="1:17">
      <c r="A15" s="9">
        <v>42</v>
      </c>
      <c r="B15" s="9">
        <v>120</v>
      </c>
      <c r="C15" s="10" t="s">
        <v>108</v>
      </c>
      <c r="D15" s="10" t="s">
        <v>49</v>
      </c>
      <c r="E15" s="10" t="s">
        <v>101</v>
      </c>
      <c r="F15" s="10" t="s">
        <v>40</v>
      </c>
      <c r="G15" s="10" t="s">
        <v>99</v>
      </c>
      <c r="H15" s="10" t="s">
        <v>102</v>
      </c>
      <c r="I15" s="9">
        <v>1000</v>
      </c>
      <c r="J15" s="9">
        <v>20260714</v>
      </c>
      <c r="K15" s="11">
        <v>0.0205949258506298</v>
      </c>
      <c r="L15" s="11">
        <v>0.452211470452592</v>
      </c>
      <c r="M15" s="11">
        <v>0.0143001823068412</v>
      </c>
      <c r="N15" s="11">
        <v>-0.00743343147077904</v>
      </c>
      <c r="O15" s="11">
        <v>0.0486232831720387</v>
      </c>
      <c r="P15" s="10" t="s">
        <v>97</v>
      </c>
      <c r="Q15" s="10" t="s">
        <v>110</v>
      </c>
    </row>
    <row r="16" spans="1:17">
      <c r="A16" s="9">
        <v>42</v>
      </c>
      <c r="B16" s="9">
        <v>120</v>
      </c>
      <c r="C16" s="10" t="s">
        <v>108</v>
      </c>
      <c r="D16" s="10" t="s">
        <v>49</v>
      </c>
      <c r="E16" s="10" t="s">
        <v>101</v>
      </c>
      <c r="F16" s="10" t="s">
        <v>40</v>
      </c>
      <c r="G16" s="10" t="s">
        <v>100</v>
      </c>
      <c r="H16" s="10" t="s">
        <v>102</v>
      </c>
      <c r="I16" s="9">
        <v>1000</v>
      </c>
      <c r="J16" s="9">
        <v>20260714</v>
      </c>
      <c r="K16" s="11">
        <v>0.018018440246582</v>
      </c>
      <c r="L16" s="11">
        <v>0.335287019728905</v>
      </c>
      <c r="M16" s="11">
        <v>0.0106027065223315</v>
      </c>
      <c r="N16" s="11">
        <v>-0.00276286453718773</v>
      </c>
      <c r="O16" s="11">
        <v>0.0387997450303518</v>
      </c>
      <c r="P16" s="10" t="s">
        <v>97</v>
      </c>
      <c r="Q16" s="10" t="s">
        <v>110</v>
      </c>
    </row>
    <row r="17" spans="1:17">
      <c r="A17" s="9">
        <v>42</v>
      </c>
      <c r="B17" s="9">
        <v>120</v>
      </c>
      <c r="C17" s="10" t="s">
        <v>108</v>
      </c>
      <c r="D17" s="10" t="s">
        <v>45</v>
      </c>
      <c r="E17" s="10" t="s">
        <v>104</v>
      </c>
      <c r="F17" s="10" t="s">
        <v>40</v>
      </c>
      <c r="G17" s="10" t="s">
        <v>95</v>
      </c>
      <c r="H17" s="10" t="s">
        <v>105</v>
      </c>
      <c r="I17" s="9">
        <v>1000</v>
      </c>
      <c r="J17" s="9">
        <v>20260714</v>
      </c>
      <c r="K17" s="11">
        <v>0.171963177233934</v>
      </c>
      <c r="L17" s="11">
        <v>0.47019332636309</v>
      </c>
      <c r="M17" s="11">
        <v>0.0148688185191826</v>
      </c>
      <c r="N17" s="11">
        <v>0.142820292936337</v>
      </c>
      <c r="O17" s="11">
        <v>0.201106061531532</v>
      </c>
      <c r="P17" s="10" t="s">
        <v>106</v>
      </c>
      <c r="Q17" s="10" t="s">
        <v>111</v>
      </c>
    </row>
    <row r="18" spans="1:17">
      <c r="A18" s="9">
        <v>42</v>
      </c>
      <c r="B18" s="9">
        <v>120</v>
      </c>
      <c r="C18" s="10" t="s">
        <v>108</v>
      </c>
      <c r="D18" s="10" t="s">
        <v>45</v>
      </c>
      <c r="E18" s="10" t="s">
        <v>104</v>
      </c>
      <c r="F18" s="10" t="s">
        <v>40</v>
      </c>
      <c r="G18" s="10" t="s">
        <v>99</v>
      </c>
      <c r="H18" s="10" t="s">
        <v>105</v>
      </c>
      <c r="I18" s="9">
        <v>1000</v>
      </c>
      <c r="J18" s="9">
        <v>20260714</v>
      </c>
      <c r="K18" s="11">
        <v>0.160054207324982</v>
      </c>
      <c r="L18" s="11">
        <v>0.424417794263147</v>
      </c>
      <c r="M18" s="11">
        <v>0.0134212690937629</v>
      </c>
      <c r="N18" s="11">
        <v>0.133748519901206</v>
      </c>
      <c r="O18" s="11">
        <v>0.186359894748757</v>
      </c>
      <c r="P18" s="10" t="s">
        <v>106</v>
      </c>
      <c r="Q18" s="10" t="s">
        <v>111</v>
      </c>
    </row>
    <row r="19" spans="1:17">
      <c r="A19" s="9">
        <v>42</v>
      </c>
      <c r="B19" s="9">
        <v>120</v>
      </c>
      <c r="C19" s="10" t="s">
        <v>108</v>
      </c>
      <c r="D19" s="10" t="s">
        <v>45</v>
      </c>
      <c r="E19" s="10" t="s">
        <v>104</v>
      </c>
      <c r="F19" s="10" t="s">
        <v>40</v>
      </c>
      <c r="G19" s="10" t="s">
        <v>100</v>
      </c>
      <c r="H19" s="10" t="s">
        <v>105</v>
      </c>
      <c r="I19" s="9">
        <v>1000</v>
      </c>
      <c r="J19" s="9">
        <v>20260714</v>
      </c>
      <c r="K19" s="11">
        <v>0.0119089699089527</v>
      </c>
      <c r="L19" s="11">
        <v>0.328602075576667</v>
      </c>
      <c r="M19" s="11">
        <v>0.0103913100268106</v>
      </c>
      <c r="N19" s="11">
        <v>-0.00845799774359599</v>
      </c>
      <c r="O19" s="11">
        <v>0.0322759375615014</v>
      </c>
      <c r="P19" s="10" t="s">
        <v>97</v>
      </c>
      <c r="Q19" s="10" t="s">
        <v>111</v>
      </c>
    </row>
    <row r="20" spans="1:17">
      <c r="A20" s="9">
        <v>43</v>
      </c>
      <c r="B20" s="9">
        <v>100</v>
      </c>
      <c r="C20" s="10" t="s">
        <v>93</v>
      </c>
      <c r="D20" s="10" t="s">
        <v>23</v>
      </c>
      <c r="E20" s="10" t="s">
        <v>94</v>
      </c>
      <c r="F20" s="10" t="s">
        <v>40</v>
      </c>
      <c r="G20" s="10" t="s">
        <v>95</v>
      </c>
      <c r="H20" s="10" t="s">
        <v>96</v>
      </c>
      <c r="I20" s="9">
        <v>1000</v>
      </c>
      <c r="J20" s="9">
        <v>20260714</v>
      </c>
      <c r="K20" s="11">
        <v>-0.0222171977758408</v>
      </c>
      <c r="L20" s="11">
        <v>0.471744600001698</v>
      </c>
      <c r="M20" s="11">
        <v>0.0149178740989044</v>
      </c>
      <c r="N20" s="11">
        <v>-0.0514562310096933</v>
      </c>
      <c r="O20" s="11">
        <v>0.00702183545801179</v>
      </c>
      <c r="P20" s="10" t="s">
        <v>97</v>
      </c>
      <c r="Q20" s="10" t="s">
        <v>112</v>
      </c>
    </row>
    <row r="21" spans="1:17">
      <c r="A21" s="9">
        <v>43</v>
      </c>
      <c r="B21" s="9">
        <v>100</v>
      </c>
      <c r="C21" s="10" t="s">
        <v>93</v>
      </c>
      <c r="D21" s="10" t="s">
        <v>23</v>
      </c>
      <c r="E21" s="10" t="s">
        <v>94</v>
      </c>
      <c r="F21" s="10" t="s">
        <v>40</v>
      </c>
      <c r="G21" s="10" t="s">
        <v>99</v>
      </c>
      <c r="H21" s="10" t="s">
        <v>96</v>
      </c>
      <c r="I21" s="9">
        <v>1000</v>
      </c>
      <c r="J21" s="9">
        <v>20260714</v>
      </c>
      <c r="K21" s="11">
        <v>-0.0229916863441467</v>
      </c>
      <c r="L21" s="11">
        <v>0.435372325258826</v>
      </c>
      <c r="M21" s="11">
        <v>0.0137676817802155</v>
      </c>
      <c r="N21" s="11">
        <v>-0.049976342633369</v>
      </c>
      <c r="O21" s="11">
        <v>0.00399296994507558</v>
      </c>
      <c r="P21" s="10" t="s">
        <v>97</v>
      </c>
      <c r="Q21" s="10" t="s">
        <v>112</v>
      </c>
    </row>
    <row r="22" spans="1:17">
      <c r="A22" s="9">
        <v>43</v>
      </c>
      <c r="B22" s="9">
        <v>100</v>
      </c>
      <c r="C22" s="10" t="s">
        <v>93</v>
      </c>
      <c r="D22" s="10" t="s">
        <v>23</v>
      </c>
      <c r="E22" s="10" t="s">
        <v>94</v>
      </c>
      <c r="F22" s="10" t="s">
        <v>40</v>
      </c>
      <c r="G22" s="10" t="s">
        <v>100</v>
      </c>
      <c r="H22" s="10" t="s">
        <v>96</v>
      </c>
      <c r="I22" s="9">
        <v>1000</v>
      </c>
      <c r="J22" s="9">
        <v>20260714</v>
      </c>
      <c r="K22" s="11">
        <v>0.000774488568305969</v>
      </c>
      <c r="L22" s="11">
        <v>0.338928421225849</v>
      </c>
      <c r="M22" s="11">
        <v>0.0107178577483864</v>
      </c>
      <c r="N22" s="11">
        <v>-0.0202325126185314</v>
      </c>
      <c r="O22" s="11">
        <v>0.0217814897551433</v>
      </c>
      <c r="P22" s="10" t="s">
        <v>97</v>
      </c>
      <c r="Q22" s="10" t="s">
        <v>112</v>
      </c>
    </row>
    <row r="23" spans="1:17">
      <c r="A23" s="9">
        <v>43</v>
      </c>
      <c r="B23" s="9">
        <v>100</v>
      </c>
      <c r="C23" s="10" t="s">
        <v>93</v>
      </c>
      <c r="D23" s="10" t="s">
        <v>49</v>
      </c>
      <c r="E23" s="10" t="s">
        <v>101</v>
      </c>
      <c r="F23" s="10" t="s">
        <v>40</v>
      </c>
      <c r="G23" s="10" t="s">
        <v>95</v>
      </c>
      <c r="H23" s="10" t="s">
        <v>102</v>
      </c>
      <c r="I23" s="9">
        <v>1000</v>
      </c>
      <c r="J23" s="9">
        <v>20260714</v>
      </c>
      <c r="K23" s="11">
        <v>-0.0132959915697575</v>
      </c>
      <c r="L23" s="11">
        <v>0.456975964634576</v>
      </c>
      <c r="M23" s="11">
        <v>0.0144508488419782</v>
      </c>
      <c r="N23" s="11">
        <v>-0.0416196553000346</v>
      </c>
      <c r="O23" s="11">
        <v>0.0150276721605197</v>
      </c>
      <c r="P23" s="10" t="s">
        <v>97</v>
      </c>
      <c r="Q23" s="10" t="s">
        <v>113</v>
      </c>
    </row>
    <row r="24" spans="1:17">
      <c r="A24" s="9">
        <v>43</v>
      </c>
      <c r="B24" s="9">
        <v>100</v>
      </c>
      <c r="C24" s="10" t="s">
        <v>93</v>
      </c>
      <c r="D24" s="10" t="s">
        <v>49</v>
      </c>
      <c r="E24" s="10" t="s">
        <v>101</v>
      </c>
      <c r="F24" s="10" t="s">
        <v>40</v>
      </c>
      <c r="G24" s="10" t="s">
        <v>99</v>
      </c>
      <c r="H24" s="10" t="s">
        <v>102</v>
      </c>
      <c r="I24" s="9">
        <v>1000</v>
      </c>
      <c r="J24" s="9">
        <v>20260714</v>
      </c>
      <c r="K24" s="11">
        <v>-0.0227075981497765</v>
      </c>
      <c r="L24" s="11">
        <v>0.417701085067974</v>
      </c>
      <c r="M24" s="11">
        <v>0.0132088680993855</v>
      </c>
      <c r="N24" s="11">
        <v>-0.048596979624572</v>
      </c>
      <c r="O24" s="11">
        <v>0.00318178332501906</v>
      </c>
      <c r="P24" s="10" t="s">
        <v>97</v>
      </c>
      <c r="Q24" s="10" t="s">
        <v>113</v>
      </c>
    </row>
    <row r="25" spans="1:17">
      <c r="A25" s="9">
        <v>43</v>
      </c>
      <c r="B25" s="9">
        <v>100</v>
      </c>
      <c r="C25" s="10" t="s">
        <v>93</v>
      </c>
      <c r="D25" s="10" t="s">
        <v>49</v>
      </c>
      <c r="E25" s="10" t="s">
        <v>101</v>
      </c>
      <c r="F25" s="10" t="s">
        <v>40</v>
      </c>
      <c r="G25" s="10" t="s">
        <v>100</v>
      </c>
      <c r="H25" s="10" t="s">
        <v>102</v>
      </c>
      <c r="I25" s="9">
        <v>1000</v>
      </c>
      <c r="J25" s="9">
        <v>20260714</v>
      </c>
      <c r="K25" s="11">
        <v>0.009411606580019</v>
      </c>
      <c r="L25" s="11">
        <v>0.31819341432876</v>
      </c>
      <c r="M25" s="11">
        <v>0.0100621592574454</v>
      </c>
      <c r="N25" s="11">
        <v>-0.0103102255645739</v>
      </c>
      <c r="O25" s="11">
        <v>0.0291334387246119</v>
      </c>
      <c r="P25" s="10" t="s">
        <v>97</v>
      </c>
      <c r="Q25" s="10" t="s">
        <v>113</v>
      </c>
    </row>
    <row r="26" spans="1:17">
      <c r="A26" s="9">
        <v>43</v>
      </c>
      <c r="B26" s="9">
        <v>100</v>
      </c>
      <c r="C26" s="10" t="s">
        <v>93</v>
      </c>
      <c r="D26" s="10" t="s">
        <v>45</v>
      </c>
      <c r="E26" s="10" t="s">
        <v>104</v>
      </c>
      <c r="F26" s="10" t="s">
        <v>40</v>
      </c>
      <c r="G26" s="10" t="s">
        <v>95</v>
      </c>
      <c r="H26" s="10" t="s">
        <v>105</v>
      </c>
      <c r="I26" s="9">
        <v>1000</v>
      </c>
      <c r="J26" s="9">
        <v>20260714</v>
      </c>
      <c r="K26" s="11">
        <v>0.0810811513066292</v>
      </c>
      <c r="L26" s="11">
        <v>0.424007078537126</v>
      </c>
      <c r="M26" s="11">
        <v>0.0134082811221121</v>
      </c>
      <c r="N26" s="11">
        <v>0.0548009203072894</v>
      </c>
      <c r="O26" s="11">
        <v>0.107361382305969</v>
      </c>
      <c r="P26" s="10" t="s">
        <v>106</v>
      </c>
      <c r="Q26" s="10" t="s">
        <v>114</v>
      </c>
    </row>
    <row r="27" spans="1:17">
      <c r="A27" s="9">
        <v>43</v>
      </c>
      <c r="B27" s="9">
        <v>100</v>
      </c>
      <c r="C27" s="10" t="s">
        <v>93</v>
      </c>
      <c r="D27" s="10" t="s">
        <v>45</v>
      </c>
      <c r="E27" s="10" t="s">
        <v>104</v>
      </c>
      <c r="F27" s="10" t="s">
        <v>40</v>
      </c>
      <c r="G27" s="10" t="s">
        <v>99</v>
      </c>
      <c r="H27" s="10" t="s">
        <v>105</v>
      </c>
      <c r="I27" s="9">
        <v>1000</v>
      </c>
      <c r="J27" s="9">
        <v>20260714</v>
      </c>
      <c r="K27" s="11">
        <v>0.0873602947890759</v>
      </c>
      <c r="L27" s="11">
        <v>0.400467702094866</v>
      </c>
      <c r="M27" s="11">
        <v>0.0126639006795356</v>
      </c>
      <c r="N27" s="11">
        <v>0.0625390494571861</v>
      </c>
      <c r="O27" s="11">
        <v>0.112181540120966</v>
      </c>
      <c r="P27" s="10" t="s">
        <v>106</v>
      </c>
      <c r="Q27" s="10" t="s">
        <v>114</v>
      </c>
    </row>
    <row r="28" spans="1:17">
      <c r="A28" s="9">
        <v>43</v>
      </c>
      <c r="B28" s="9">
        <v>100</v>
      </c>
      <c r="C28" s="10" t="s">
        <v>93</v>
      </c>
      <c r="D28" s="10" t="s">
        <v>45</v>
      </c>
      <c r="E28" s="10" t="s">
        <v>104</v>
      </c>
      <c r="F28" s="10" t="s">
        <v>40</v>
      </c>
      <c r="G28" s="10" t="s">
        <v>100</v>
      </c>
      <c r="H28" s="10" t="s">
        <v>105</v>
      </c>
      <c r="I28" s="9">
        <v>1000</v>
      </c>
      <c r="J28" s="9">
        <v>20260714</v>
      </c>
      <c r="K28" s="11">
        <v>-0.00627914348244667</v>
      </c>
      <c r="L28" s="11">
        <v>0.347805391353999</v>
      </c>
      <c r="M28" s="11">
        <v>0.0109985721916487</v>
      </c>
      <c r="N28" s="11">
        <v>-0.0278363449780782</v>
      </c>
      <c r="O28" s="11">
        <v>0.0152780580131848</v>
      </c>
      <c r="P28" s="10" t="s">
        <v>97</v>
      </c>
      <c r="Q28" s="10" t="s">
        <v>114</v>
      </c>
    </row>
    <row r="29" spans="1:17">
      <c r="A29" s="9">
        <v>43</v>
      </c>
      <c r="B29" s="9">
        <v>120</v>
      </c>
      <c r="C29" s="10" t="s">
        <v>108</v>
      </c>
      <c r="D29" s="10" t="s">
        <v>23</v>
      </c>
      <c r="E29" s="10" t="s">
        <v>94</v>
      </c>
      <c r="F29" s="10" t="s">
        <v>40</v>
      </c>
      <c r="G29" s="10" t="s">
        <v>95</v>
      </c>
      <c r="H29" s="10" t="s">
        <v>96</v>
      </c>
      <c r="I29" s="9">
        <v>1000</v>
      </c>
      <c r="J29" s="9">
        <v>20260714</v>
      </c>
      <c r="K29" s="11">
        <v>-0.00729532361030579</v>
      </c>
      <c r="L29" s="11">
        <v>0.477778314160197</v>
      </c>
      <c r="M29" s="11">
        <v>0.015108676893817</v>
      </c>
      <c r="N29" s="11">
        <v>-0.0369083303221871</v>
      </c>
      <c r="O29" s="11">
        <v>0.0223176831015755</v>
      </c>
      <c r="P29" s="10" t="s">
        <v>97</v>
      </c>
      <c r="Q29" s="10" t="s">
        <v>115</v>
      </c>
    </row>
    <row r="30" spans="1:17">
      <c r="A30" s="9">
        <v>43</v>
      </c>
      <c r="B30" s="9">
        <v>120</v>
      </c>
      <c r="C30" s="10" t="s">
        <v>108</v>
      </c>
      <c r="D30" s="10" t="s">
        <v>23</v>
      </c>
      <c r="E30" s="10" t="s">
        <v>94</v>
      </c>
      <c r="F30" s="10" t="s">
        <v>40</v>
      </c>
      <c r="G30" s="10" t="s">
        <v>99</v>
      </c>
      <c r="H30" s="10" t="s">
        <v>96</v>
      </c>
      <c r="I30" s="9">
        <v>1000</v>
      </c>
      <c r="J30" s="9">
        <v>20260714</v>
      </c>
      <c r="K30" s="11">
        <v>-0.0148275646865368</v>
      </c>
      <c r="L30" s="11">
        <v>0.462798284690896</v>
      </c>
      <c r="M30" s="11">
        <v>0.0146349667684227</v>
      </c>
      <c r="N30" s="11">
        <v>-0.0435120995526452</v>
      </c>
      <c r="O30" s="11">
        <v>0.0138569701795717</v>
      </c>
      <c r="P30" s="10" t="s">
        <v>97</v>
      </c>
      <c r="Q30" s="10" t="s">
        <v>115</v>
      </c>
    </row>
    <row r="31" spans="1:17">
      <c r="A31" s="9">
        <v>43</v>
      </c>
      <c r="B31" s="9">
        <v>120</v>
      </c>
      <c r="C31" s="10" t="s">
        <v>108</v>
      </c>
      <c r="D31" s="10" t="s">
        <v>23</v>
      </c>
      <c r="E31" s="10" t="s">
        <v>94</v>
      </c>
      <c r="F31" s="10" t="s">
        <v>40</v>
      </c>
      <c r="G31" s="10" t="s">
        <v>100</v>
      </c>
      <c r="H31" s="10" t="s">
        <v>96</v>
      </c>
      <c r="I31" s="9">
        <v>1000</v>
      </c>
      <c r="J31" s="9">
        <v>20260714</v>
      </c>
      <c r="K31" s="11">
        <v>0.007532241076231</v>
      </c>
      <c r="L31" s="11">
        <v>0.351931079852046</v>
      </c>
      <c r="M31" s="11">
        <v>0.0111290379173506</v>
      </c>
      <c r="N31" s="11">
        <v>-0.0142806732417762</v>
      </c>
      <c r="O31" s="11">
        <v>0.0293451553942382</v>
      </c>
      <c r="P31" s="10" t="s">
        <v>97</v>
      </c>
      <c r="Q31" s="10" t="s">
        <v>115</v>
      </c>
    </row>
    <row r="32" spans="1:17">
      <c r="A32" s="9">
        <v>43</v>
      </c>
      <c r="B32" s="9">
        <v>120</v>
      </c>
      <c r="C32" s="10" t="s">
        <v>108</v>
      </c>
      <c r="D32" s="10" t="s">
        <v>49</v>
      </c>
      <c r="E32" s="10" t="s">
        <v>101</v>
      </c>
      <c r="F32" s="10" t="s">
        <v>40</v>
      </c>
      <c r="G32" s="10" t="s">
        <v>95</v>
      </c>
      <c r="H32" s="10" t="s">
        <v>102</v>
      </c>
      <c r="I32" s="9">
        <v>1000</v>
      </c>
      <c r="J32" s="9">
        <v>20260714</v>
      </c>
      <c r="K32" s="11">
        <v>-0.0129801393449306</v>
      </c>
      <c r="L32" s="11">
        <v>0.461412033061256</v>
      </c>
      <c r="M32" s="11">
        <v>0.0145911296428248</v>
      </c>
      <c r="N32" s="11">
        <v>-0.0415787534448673</v>
      </c>
      <c r="O32" s="11">
        <v>0.015618474755006</v>
      </c>
      <c r="P32" s="10" t="s">
        <v>97</v>
      </c>
      <c r="Q32" s="10" t="s">
        <v>116</v>
      </c>
    </row>
    <row r="33" spans="1:17">
      <c r="A33" s="9">
        <v>43</v>
      </c>
      <c r="B33" s="9">
        <v>120</v>
      </c>
      <c r="C33" s="10" t="s">
        <v>108</v>
      </c>
      <c r="D33" s="10" t="s">
        <v>49</v>
      </c>
      <c r="E33" s="10" t="s">
        <v>101</v>
      </c>
      <c r="F33" s="10" t="s">
        <v>40</v>
      </c>
      <c r="G33" s="10" t="s">
        <v>99</v>
      </c>
      <c r="H33" s="10" t="s">
        <v>102</v>
      </c>
      <c r="I33" s="9">
        <v>1000</v>
      </c>
      <c r="J33" s="9">
        <v>20260714</v>
      </c>
      <c r="K33" s="11">
        <v>-0.0285511133372784</v>
      </c>
      <c r="L33" s="11">
        <v>0.453452759570184</v>
      </c>
      <c r="M33" s="11">
        <v>0.014339435315305</v>
      </c>
      <c r="N33" s="11">
        <v>-0.0566564065552761</v>
      </c>
      <c r="O33" s="11">
        <v>-0.00044582011928063</v>
      </c>
      <c r="P33" s="10" t="s">
        <v>117</v>
      </c>
      <c r="Q33" s="10" t="s">
        <v>116</v>
      </c>
    </row>
    <row r="34" spans="1:17">
      <c r="A34" s="9">
        <v>43</v>
      </c>
      <c r="B34" s="9">
        <v>120</v>
      </c>
      <c r="C34" s="10" t="s">
        <v>108</v>
      </c>
      <c r="D34" s="10" t="s">
        <v>49</v>
      </c>
      <c r="E34" s="10" t="s">
        <v>101</v>
      </c>
      <c r="F34" s="10" t="s">
        <v>40</v>
      </c>
      <c r="G34" s="10" t="s">
        <v>100</v>
      </c>
      <c r="H34" s="10" t="s">
        <v>102</v>
      </c>
      <c r="I34" s="9">
        <v>1000</v>
      </c>
      <c r="J34" s="9">
        <v>20260714</v>
      </c>
      <c r="K34" s="11">
        <v>0.0155709739923477</v>
      </c>
      <c r="L34" s="11">
        <v>0.322762243981052</v>
      </c>
      <c r="M34" s="11">
        <v>0.010206638336871</v>
      </c>
      <c r="N34" s="11">
        <v>-0.00443403714791939</v>
      </c>
      <c r="O34" s="11">
        <v>0.0355759851326148</v>
      </c>
      <c r="P34" s="10" t="s">
        <v>97</v>
      </c>
      <c r="Q34" s="10" t="s">
        <v>116</v>
      </c>
    </row>
    <row r="35" spans="1:17">
      <c r="A35" s="9">
        <v>43</v>
      </c>
      <c r="B35" s="9">
        <v>120</v>
      </c>
      <c r="C35" s="10" t="s">
        <v>108</v>
      </c>
      <c r="D35" s="10" t="s">
        <v>45</v>
      </c>
      <c r="E35" s="10" t="s">
        <v>104</v>
      </c>
      <c r="F35" s="10" t="s">
        <v>40</v>
      </c>
      <c r="G35" s="10" t="s">
        <v>95</v>
      </c>
      <c r="H35" s="10" t="s">
        <v>105</v>
      </c>
      <c r="I35" s="9">
        <v>1000</v>
      </c>
      <c r="J35" s="9">
        <v>20260714</v>
      </c>
      <c r="K35" s="11">
        <v>0.124194346755743</v>
      </c>
      <c r="L35" s="11">
        <v>0.454089182214039</v>
      </c>
      <c r="M35" s="11">
        <v>0.0143595607663959</v>
      </c>
      <c r="N35" s="11">
        <v>0.0960496076536071</v>
      </c>
      <c r="O35" s="11">
        <v>0.152339085857879</v>
      </c>
      <c r="P35" s="10" t="s">
        <v>106</v>
      </c>
      <c r="Q35" s="10" t="s">
        <v>118</v>
      </c>
    </row>
    <row r="36" spans="1:17">
      <c r="A36" s="9">
        <v>43</v>
      </c>
      <c r="B36" s="9">
        <v>120</v>
      </c>
      <c r="C36" s="10" t="s">
        <v>108</v>
      </c>
      <c r="D36" s="10" t="s">
        <v>45</v>
      </c>
      <c r="E36" s="10" t="s">
        <v>104</v>
      </c>
      <c r="F36" s="10" t="s">
        <v>40</v>
      </c>
      <c r="G36" s="10" t="s">
        <v>99</v>
      </c>
      <c r="H36" s="10" t="s">
        <v>105</v>
      </c>
      <c r="I36" s="9">
        <v>1000</v>
      </c>
      <c r="J36" s="9">
        <v>20260714</v>
      </c>
      <c r="K36" s="11">
        <v>0.121405501097441</v>
      </c>
      <c r="L36" s="11">
        <v>0.42992382066346</v>
      </c>
      <c r="M36" s="11">
        <v>0.013595384936583</v>
      </c>
      <c r="N36" s="11">
        <v>0.0947585466217381</v>
      </c>
      <c r="O36" s="11">
        <v>0.148052455573143</v>
      </c>
      <c r="P36" s="10" t="s">
        <v>106</v>
      </c>
      <c r="Q36" s="10" t="s">
        <v>118</v>
      </c>
    </row>
    <row r="37" spans="1:17">
      <c r="A37" s="9">
        <v>43</v>
      </c>
      <c r="B37" s="9">
        <v>120</v>
      </c>
      <c r="C37" s="10" t="s">
        <v>108</v>
      </c>
      <c r="D37" s="10" t="s">
        <v>45</v>
      </c>
      <c r="E37" s="10" t="s">
        <v>104</v>
      </c>
      <c r="F37" s="10" t="s">
        <v>40</v>
      </c>
      <c r="G37" s="10" t="s">
        <v>100</v>
      </c>
      <c r="H37" s="10" t="s">
        <v>105</v>
      </c>
      <c r="I37" s="9">
        <v>1000</v>
      </c>
      <c r="J37" s="9">
        <v>20260714</v>
      </c>
      <c r="K37" s="11">
        <v>0.00278884565830231</v>
      </c>
      <c r="L37" s="11">
        <v>0.331090603626169</v>
      </c>
      <c r="M37" s="11">
        <v>0.010470004193387</v>
      </c>
      <c r="N37" s="11">
        <v>-0.0177323625607362</v>
      </c>
      <c r="O37" s="11">
        <v>0.0233100538773408</v>
      </c>
      <c r="P37" s="10" t="s">
        <v>97</v>
      </c>
      <c r="Q37" s="10" t="s">
        <v>118</v>
      </c>
    </row>
    <row r="38" spans="1:17">
      <c r="A38" s="9">
        <v>44</v>
      </c>
      <c r="B38" s="9">
        <v>100</v>
      </c>
      <c r="C38" s="10" t="s">
        <v>93</v>
      </c>
      <c r="D38" s="10" t="s">
        <v>23</v>
      </c>
      <c r="E38" s="10" t="s">
        <v>94</v>
      </c>
      <c r="F38" s="10" t="s">
        <v>40</v>
      </c>
      <c r="G38" s="10" t="s">
        <v>95</v>
      </c>
      <c r="H38" s="10" t="s">
        <v>96</v>
      </c>
      <c r="I38" s="9">
        <v>1000</v>
      </c>
      <c r="J38" s="9">
        <v>20260714</v>
      </c>
      <c r="K38" s="11">
        <v>-0.00856302466988564</v>
      </c>
      <c r="L38" s="11">
        <v>0.448493893001114</v>
      </c>
      <c r="M38" s="11">
        <v>0.0141826221855937</v>
      </c>
      <c r="N38" s="11">
        <v>-0.0363609641536493</v>
      </c>
      <c r="O38" s="11">
        <v>0.019234914813878</v>
      </c>
      <c r="P38" s="10" t="s">
        <v>97</v>
      </c>
      <c r="Q38" s="10" t="s">
        <v>119</v>
      </c>
    </row>
    <row r="39" spans="1:17">
      <c r="A39" s="9">
        <v>44</v>
      </c>
      <c r="B39" s="9">
        <v>100</v>
      </c>
      <c r="C39" s="10" t="s">
        <v>93</v>
      </c>
      <c r="D39" s="10" t="s">
        <v>23</v>
      </c>
      <c r="E39" s="10" t="s">
        <v>94</v>
      </c>
      <c r="F39" s="10" t="s">
        <v>40</v>
      </c>
      <c r="G39" s="10" t="s">
        <v>99</v>
      </c>
      <c r="H39" s="10" t="s">
        <v>96</v>
      </c>
      <c r="I39" s="9">
        <v>1000</v>
      </c>
      <c r="J39" s="9">
        <v>20260714</v>
      </c>
      <c r="K39" s="11">
        <v>-0.0141700629889965</v>
      </c>
      <c r="L39" s="11">
        <v>0.430417769364858</v>
      </c>
      <c r="M39" s="11">
        <v>0.01361100496602</v>
      </c>
      <c r="N39" s="11">
        <v>-0.0408476327223956</v>
      </c>
      <c r="O39" s="11">
        <v>0.0125075067444026</v>
      </c>
      <c r="P39" s="10" t="s">
        <v>97</v>
      </c>
      <c r="Q39" s="10" t="s">
        <v>119</v>
      </c>
    </row>
    <row r="40" spans="1:17">
      <c r="A40" s="9">
        <v>44</v>
      </c>
      <c r="B40" s="9">
        <v>100</v>
      </c>
      <c r="C40" s="10" t="s">
        <v>93</v>
      </c>
      <c r="D40" s="10" t="s">
        <v>23</v>
      </c>
      <c r="E40" s="10" t="s">
        <v>94</v>
      </c>
      <c r="F40" s="10" t="s">
        <v>40</v>
      </c>
      <c r="G40" s="10" t="s">
        <v>100</v>
      </c>
      <c r="H40" s="10" t="s">
        <v>96</v>
      </c>
      <c r="I40" s="9">
        <v>1000</v>
      </c>
      <c r="J40" s="9">
        <v>20260714</v>
      </c>
      <c r="K40" s="11">
        <v>0.00560703831911087</v>
      </c>
      <c r="L40" s="11">
        <v>0.332249032912504</v>
      </c>
      <c r="M40" s="11">
        <v>0.0105066369439176</v>
      </c>
      <c r="N40" s="11">
        <v>-0.0149859700909676</v>
      </c>
      <c r="O40" s="11">
        <v>0.0262000467291894</v>
      </c>
      <c r="P40" s="10" t="s">
        <v>97</v>
      </c>
      <c r="Q40" s="10" t="s">
        <v>119</v>
      </c>
    </row>
    <row r="41" spans="1:17">
      <c r="A41" s="9">
        <v>44</v>
      </c>
      <c r="B41" s="9">
        <v>100</v>
      </c>
      <c r="C41" s="10" t="s">
        <v>93</v>
      </c>
      <c r="D41" s="10" t="s">
        <v>49</v>
      </c>
      <c r="E41" s="10" t="s">
        <v>101</v>
      </c>
      <c r="F41" s="10" t="s">
        <v>40</v>
      </c>
      <c r="G41" s="10" t="s">
        <v>95</v>
      </c>
      <c r="H41" s="10" t="s">
        <v>102</v>
      </c>
      <c r="I41" s="9">
        <v>1000</v>
      </c>
      <c r="J41" s="9">
        <v>20260714</v>
      </c>
      <c r="K41" s="11">
        <v>-0.0180177639126778</v>
      </c>
      <c r="L41" s="11">
        <v>0.445384732925976</v>
      </c>
      <c r="M41" s="11">
        <v>0.0140843019111187</v>
      </c>
      <c r="N41" s="11">
        <v>-0.0456229956584705</v>
      </c>
      <c r="O41" s="11">
        <v>0.00958746783311494</v>
      </c>
      <c r="P41" s="10" t="s">
        <v>97</v>
      </c>
      <c r="Q41" s="10" t="s">
        <v>120</v>
      </c>
    </row>
    <row r="42" spans="1:17">
      <c r="A42" s="9">
        <v>44</v>
      </c>
      <c r="B42" s="9">
        <v>100</v>
      </c>
      <c r="C42" s="10" t="s">
        <v>93</v>
      </c>
      <c r="D42" s="10" t="s">
        <v>49</v>
      </c>
      <c r="E42" s="10" t="s">
        <v>101</v>
      </c>
      <c r="F42" s="10" t="s">
        <v>40</v>
      </c>
      <c r="G42" s="10" t="s">
        <v>99</v>
      </c>
      <c r="H42" s="10" t="s">
        <v>102</v>
      </c>
      <c r="I42" s="9">
        <v>1000</v>
      </c>
      <c r="J42" s="9">
        <v>20260714</v>
      </c>
      <c r="K42" s="11">
        <v>-0.0242870389819145</v>
      </c>
      <c r="L42" s="11">
        <v>0.428802948440877</v>
      </c>
      <c r="M42" s="11">
        <v>0.0135599398446892</v>
      </c>
      <c r="N42" s="11">
        <v>-0.0508645210775053</v>
      </c>
      <c r="O42" s="11">
        <v>0.00229044311367631</v>
      </c>
      <c r="P42" s="10" t="s">
        <v>97</v>
      </c>
      <c r="Q42" s="10" t="s">
        <v>120</v>
      </c>
    </row>
    <row r="43" spans="1:17">
      <c r="A43" s="9">
        <v>44</v>
      </c>
      <c r="B43" s="9">
        <v>100</v>
      </c>
      <c r="C43" s="10" t="s">
        <v>93</v>
      </c>
      <c r="D43" s="10" t="s">
        <v>49</v>
      </c>
      <c r="E43" s="10" t="s">
        <v>101</v>
      </c>
      <c r="F43" s="10" t="s">
        <v>40</v>
      </c>
      <c r="G43" s="10" t="s">
        <v>100</v>
      </c>
      <c r="H43" s="10" t="s">
        <v>102</v>
      </c>
      <c r="I43" s="9">
        <v>1000</v>
      </c>
      <c r="J43" s="9">
        <v>20260714</v>
      </c>
      <c r="K43" s="11">
        <v>0.00626927509903908</v>
      </c>
      <c r="L43" s="11">
        <v>0.330049029776624</v>
      </c>
      <c r="M43" s="11">
        <v>0.0104370667362287</v>
      </c>
      <c r="N43" s="11">
        <v>-0.0141873757039691</v>
      </c>
      <c r="O43" s="11">
        <v>0.0267259259020473</v>
      </c>
      <c r="P43" s="10" t="s">
        <v>97</v>
      </c>
      <c r="Q43" s="10" t="s">
        <v>120</v>
      </c>
    </row>
    <row r="44" spans="1:17">
      <c r="A44" s="9">
        <v>44</v>
      </c>
      <c r="B44" s="9">
        <v>100</v>
      </c>
      <c r="C44" s="10" t="s">
        <v>93</v>
      </c>
      <c r="D44" s="10" t="s">
        <v>45</v>
      </c>
      <c r="E44" s="10" t="s">
        <v>104</v>
      </c>
      <c r="F44" s="10" t="s">
        <v>40</v>
      </c>
      <c r="G44" s="10" t="s">
        <v>95</v>
      </c>
      <c r="H44" s="10" t="s">
        <v>105</v>
      </c>
      <c r="I44" s="9">
        <v>1000</v>
      </c>
      <c r="J44" s="9">
        <v>20260714</v>
      </c>
      <c r="K44" s="11">
        <v>0.0886295758485794</v>
      </c>
      <c r="L44" s="11">
        <v>0.413850879622256</v>
      </c>
      <c r="M44" s="11">
        <v>0.0130871139127049</v>
      </c>
      <c r="N44" s="11">
        <v>0.0629788325796777</v>
      </c>
      <c r="O44" s="11">
        <v>0.114280319117481</v>
      </c>
      <c r="P44" s="10" t="s">
        <v>106</v>
      </c>
      <c r="Q44" s="10" t="s">
        <v>121</v>
      </c>
    </row>
    <row r="45" spans="1:17">
      <c r="A45" s="9">
        <v>44</v>
      </c>
      <c r="B45" s="9">
        <v>100</v>
      </c>
      <c r="C45" s="10" t="s">
        <v>93</v>
      </c>
      <c r="D45" s="10" t="s">
        <v>45</v>
      </c>
      <c r="E45" s="10" t="s">
        <v>104</v>
      </c>
      <c r="F45" s="10" t="s">
        <v>40</v>
      </c>
      <c r="G45" s="10" t="s">
        <v>99</v>
      </c>
      <c r="H45" s="10" t="s">
        <v>105</v>
      </c>
      <c r="I45" s="9">
        <v>1000</v>
      </c>
      <c r="J45" s="9">
        <v>20260714</v>
      </c>
      <c r="K45" s="11">
        <v>0.0688514928817749</v>
      </c>
      <c r="L45" s="11">
        <v>0.398402555437716</v>
      </c>
      <c r="M45" s="11">
        <v>0.0125985950081468</v>
      </c>
      <c r="N45" s="11">
        <v>0.0441582466658071</v>
      </c>
      <c r="O45" s="11">
        <v>0.0935447390977427</v>
      </c>
      <c r="P45" s="10" t="s">
        <v>106</v>
      </c>
      <c r="Q45" s="10" t="s">
        <v>121</v>
      </c>
    </row>
    <row r="46" spans="1:17">
      <c r="A46" s="9">
        <v>44</v>
      </c>
      <c r="B46" s="9">
        <v>100</v>
      </c>
      <c r="C46" s="10" t="s">
        <v>93</v>
      </c>
      <c r="D46" s="10" t="s">
        <v>45</v>
      </c>
      <c r="E46" s="10" t="s">
        <v>104</v>
      </c>
      <c r="F46" s="10" t="s">
        <v>40</v>
      </c>
      <c r="G46" s="10" t="s">
        <v>100</v>
      </c>
      <c r="H46" s="10" t="s">
        <v>105</v>
      </c>
      <c r="I46" s="9">
        <v>1000</v>
      </c>
      <c r="J46" s="9">
        <v>20260714</v>
      </c>
      <c r="K46" s="11">
        <v>0.0197780829668045</v>
      </c>
      <c r="L46" s="11">
        <v>0.323989707551098</v>
      </c>
      <c r="M46" s="11">
        <v>0.0102454541431332</v>
      </c>
      <c r="N46" s="11">
        <v>-0.000303007153736629</v>
      </c>
      <c r="O46" s="11">
        <v>0.0398591730873456</v>
      </c>
      <c r="P46" s="10" t="s">
        <v>97</v>
      </c>
      <c r="Q46" s="10" t="s">
        <v>121</v>
      </c>
    </row>
    <row r="47" spans="1:17">
      <c r="A47" s="9">
        <v>44</v>
      </c>
      <c r="B47" s="9">
        <v>120</v>
      </c>
      <c r="C47" s="10" t="s">
        <v>108</v>
      </c>
      <c r="D47" s="10" t="s">
        <v>23</v>
      </c>
      <c r="E47" s="10" t="s">
        <v>94</v>
      </c>
      <c r="F47" s="10" t="s">
        <v>40</v>
      </c>
      <c r="G47" s="10" t="s">
        <v>95</v>
      </c>
      <c r="H47" s="10" t="s">
        <v>96</v>
      </c>
      <c r="I47" s="9">
        <v>1000</v>
      </c>
      <c r="J47" s="9">
        <v>20260714</v>
      </c>
      <c r="K47" s="11">
        <v>-0.00400960212945938</v>
      </c>
      <c r="L47" s="11">
        <v>0.466742864053052</v>
      </c>
      <c r="M47" s="11">
        <v>0.0147597053203797</v>
      </c>
      <c r="N47" s="11">
        <v>-0.0329386245574036</v>
      </c>
      <c r="O47" s="11">
        <v>0.0249194202984849</v>
      </c>
      <c r="P47" s="10" t="s">
        <v>97</v>
      </c>
      <c r="Q47" s="10" t="s">
        <v>122</v>
      </c>
    </row>
    <row r="48" spans="1:17">
      <c r="A48" s="9">
        <v>44</v>
      </c>
      <c r="B48" s="9">
        <v>120</v>
      </c>
      <c r="C48" s="10" t="s">
        <v>108</v>
      </c>
      <c r="D48" s="10" t="s">
        <v>23</v>
      </c>
      <c r="E48" s="10" t="s">
        <v>94</v>
      </c>
      <c r="F48" s="10" t="s">
        <v>40</v>
      </c>
      <c r="G48" s="10" t="s">
        <v>99</v>
      </c>
      <c r="H48" s="10" t="s">
        <v>96</v>
      </c>
      <c r="I48" s="9">
        <v>1000</v>
      </c>
      <c r="J48" s="9">
        <v>20260714</v>
      </c>
      <c r="K48" s="11">
        <v>0.00250224789977074</v>
      </c>
      <c r="L48" s="11">
        <v>0.422806566893834</v>
      </c>
      <c r="M48" s="11">
        <v>0.0133703176106086</v>
      </c>
      <c r="N48" s="11">
        <v>-0.0237035746170221</v>
      </c>
      <c r="O48" s="11">
        <v>0.0287080704165636</v>
      </c>
      <c r="P48" s="10" t="s">
        <v>97</v>
      </c>
      <c r="Q48" s="10" t="s">
        <v>122</v>
      </c>
    </row>
    <row r="49" spans="1:17">
      <c r="A49" s="9">
        <v>44</v>
      </c>
      <c r="B49" s="9">
        <v>120</v>
      </c>
      <c r="C49" s="10" t="s">
        <v>108</v>
      </c>
      <c r="D49" s="10" t="s">
        <v>23</v>
      </c>
      <c r="E49" s="10" t="s">
        <v>94</v>
      </c>
      <c r="F49" s="10" t="s">
        <v>40</v>
      </c>
      <c r="G49" s="10" t="s">
        <v>100</v>
      </c>
      <c r="H49" s="10" t="s">
        <v>96</v>
      </c>
      <c r="I49" s="9">
        <v>1000</v>
      </c>
      <c r="J49" s="9">
        <v>20260714</v>
      </c>
      <c r="K49" s="11">
        <v>-0.00651185002923012</v>
      </c>
      <c r="L49" s="11">
        <v>0.341420354416179</v>
      </c>
      <c r="M49" s="11">
        <v>0.0107966595949705</v>
      </c>
      <c r="N49" s="11">
        <v>-0.0276733028353724</v>
      </c>
      <c r="O49" s="11">
        <v>0.0146496027769121</v>
      </c>
      <c r="P49" s="10" t="s">
        <v>97</v>
      </c>
      <c r="Q49" s="10" t="s">
        <v>122</v>
      </c>
    </row>
    <row r="50" spans="1:17">
      <c r="A50" s="9">
        <v>44</v>
      </c>
      <c r="B50" s="9">
        <v>120</v>
      </c>
      <c r="C50" s="10" t="s">
        <v>108</v>
      </c>
      <c r="D50" s="10" t="s">
        <v>49</v>
      </c>
      <c r="E50" s="10" t="s">
        <v>101</v>
      </c>
      <c r="F50" s="10" t="s">
        <v>40</v>
      </c>
      <c r="G50" s="10" t="s">
        <v>95</v>
      </c>
      <c r="H50" s="10" t="s">
        <v>102</v>
      </c>
      <c r="I50" s="9">
        <v>1000</v>
      </c>
      <c r="J50" s="9">
        <v>20260714</v>
      </c>
      <c r="K50" s="11">
        <v>-0.00578541705012321</v>
      </c>
      <c r="L50" s="11">
        <v>0.481052862935916</v>
      </c>
      <c r="M50" s="11">
        <v>0.0152122272182229</v>
      </c>
      <c r="N50" s="11">
        <v>-0.03560138239784</v>
      </c>
      <c r="O50" s="11">
        <v>0.0240305482975936</v>
      </c>
      <c r="P50" s="10" t="s">
        <v>97</v>
      </c>
      <c r="Q50" s="10" t="s">
        <v>123</v>
      </c>
    </row>
    <row r="51" spans="1:17">
      <c r="A51" s="9">
        <v>44</v>
      </c>
      <c r="B51" s="9">
        <v>120</v>
      </c>
      <c r="C51" s="10" t="s">
        <v>108</v>
      </c>
      <c r="D51" s="10" t="s">
        <v>49</v>
      </c>
      <c r="E51" s="10" t="s">
        <v>101</v>
      </c>
      <c r="F51" s="10" t="s">
        <v>40</v>
      </c>
      <c r="G51" s="10" t="s">
        <v>99</v>
      </c>
      <c r="H51" s="10" t="s">
        <v>102</v>
      </c>
      <c r="I51" s="9">
        <v>1000</v>
      </c>
      <c r="J51" s="9">
        <v>20260714</v>
      </c>
      <c r="K51" s="11">
        <v>-0.0099472499191761</v>
      </c>
      <c r="L51" s="11">
        <v>0.452154474046256</v>
      </c>
      <c r="M51" s="11">
        <v>0.0142983799222166</v>
      </c>
      <c r="N51" s="11">
        <v>-0.0379720745667206</v>
      </c>
      <c r="O51" s="11">
        <v>0.0180775747283684</v>
      </c>
      <c r="P51" s="10" t="s">
        <v>97</v>
      </c>
      <c r="Q51" s="10" t="s">
        <v>123</v>
      </c>
    </row>
    <row r="52" spans="1:17">
      <c r="A52" s="9">
        <v>44</v>
      </c>
      <c r="B52" s="9">
        <v>120</v>
      </c>
      <c r="C52" s="10" t="s">
        <v>108</v>
      </c>
      <c r="D52" s="10" t="s">
        <v>49</v>
      </c>
      <c r="E52" s="10" t="s">
        <v>101</v>
      </c>
      <c r="F52" s="10" t="s">
        <v>40</v>
      </c>
      <c r="G52" s="10" t="s">
        <v>100</v>
      </c>
      <c r="H52" s="10" t="s">
        <v>102</v>
      </c>
      <c r="I52" s="9">
        <v>1000</v>
      </c>
      <c r="J52" s="9">
        <v>20260714</v>
      </c>
      <c r="K52" s="11">
        <v>0.00416183289885521</v>
      </c>
      <c r="L52" s="11">
        <v>0.341511154704958</v>
      </c>
      <c r="M52" s="11">
        <v>0.010799530952218</v>
      </c>
      <c r="N52" s="11">
        <v>-0.017005247767492</v>
      </c>
      <c r="O52" s="11">
        <v>0.0253289135652024</v>
      </c>
      <c r="P52" s="10" t="s">
        <v>97</v>
      </c>
      <c r="Q52" s="10" t="s">
        <v>123</v>
      </c>
    </row>
    <row r="53" spans="1:17">
      <c r="A53" s="9">
        <v>44</v>
      </c>
      <c r="B53" s="9">
        <v>120</v>
      </c>
      <c r="C53" s="10" t="s">
        <v>108</v>
      </c>
      <c r="D53" s="10" t="s">
        <v>45</v>
      </c>
      <c r="E53" s="10" t="s">
        <v>104</v>
      </c>
      <c r="F53" s="10" t="s">
        <v>40</v>
      </c>
      <c r="G53" s="10" t="s">
        <v>95</v>
      </c>
      <c r="H53" s="10" t="s">
        <v>105</v>
      </c>
      <c r="I53" s="9">
        <v>1000</v>
      </c>
      <c r="J53" s="9">
        <v>20260714</v>
      </c>
      <c r="K53" s="11">
        <v>0.106076316833496</v>
      </c>
      <c r="L53" s="11">
        <v>0.457373846262015</v>
      </c>
      <c r="M53" s="11">
        <v>0.0144634309637966</v>
      </c>
      <c r="N53" s="11">
        <v>0.0777279921444548</v>
      </c>
      <c r="O53" s="11">
        <v>0.134424641522537</v>
      </c>
      <c r="P53" s="10" t="s">
        <v>106</v>
      </c>
      <c r="Q53" s="10" t="s">
        <v>124</v>
      </c>
    </row>
    <row r="54" spans="1:17">
      <c r="A54" s="9">
        <v>44</v>
      </c>
      <c r="B54" s="9">
        <v>120</v>
      </c>
      <c r="C54" s="10" t="s">
        <v>108</v>
      </c>
      <c r="D54" s="10" t="s">
        <v>45</v>
      </c>
      <c r="E54" s="10" t="s">
        <v>104</v>
      </c>
      <c r="F54" s="10" t="s">
        <v>40</v>
      </c>
      <c r="G54" s="10" t="s">
        <v>99</v>
      </c>
      <c r="H54" s="10" t="s">
        <v>105</v>
      </c>
      <c r="I54" s="9">
        <v>1000</v>
      </c>
      <c r="J54" s="9">
        <v>20260714</v>
      </c>
      <c r="K54" s="11">
        <v>0.0915441633164883</v>
      </c>
      <c r="L54" s="11">
        <v>0.441412309570454</v>
      </c>
      <c r="M54" s="11">
        <v>0.0139586828547798</v>
      </c>
      <c r="N54" s="11">
        <v>0.06418514492112</v>
      </c>
      <c r="O54" s="11">
        <v>0.118903181711857</v>
      </c>
      <c r="P54" s="10" t="s">
        <v>106</v>
      </c>
      <c r="Q54" s="10" t="s">
        <v>124</v>
      </c>
    </row>
    <row r="55" spans="1:17">
      <c r="A55" s="9">
        <v>44</v>
      </c>
      <c r="B55" s="9">
        <v>120</v>
      </c>
      <c r="C55" s="10" t="s">
        <v>108</v>
      </c>
      <c r="D55" s="10" t="s">
        <v>45</v>
      </c>
      <c r="E55" s="10" t="s">
        <v>104</v>
      </c>
      <c r="F55" s="10" t="s">
        <v>40</v>
      </c>
      <c r="G55" s="10" t="s">
        <v>100</v>
      </c>
      <c r="H55" s="10" t="s">
        <v>105</v>
      </c>
      <c r="I55" s="9">
        <v>1000</v>
      </c>
      <c r="J55" s="9">
        <v>20260714</v>
      </c>
      <c r="K55" s="11">
        <v>0.0145321535170078</v>
      </c>
      <c r="L55" s="11">
        <v>0.33338956248948</v>
      </c>
      <c r="M55" s="11">
        <v>0.0105427036559379</v>
      </c>
      <c r="N55" s="11">
        <v>-0.00613154564863051</v>
      </c>
      <c r="O55" s="11">
        <v>0.0351958526826462</v>
      </c>
      <c r="P55" s="10" t="s">
        <v>97</v>
      </c>
      <c r="Q55" s="10" t="s">
        <v>124</v>
      </c>
    </row>
  </sheetData>
  <conditionalFormatting sqref="P2:P55">
    <cfRule type="containsText" dxfId="16" priority="1" operator="between" text="Positive">
      <formula>NOT(ISERROR(SEARCH("Positive",P2)))</formula>
    </cfRule>
    <cfRule type="containsText" dxfId="17" priority="2" operator="between" text="Negative">
      <formula>NOT(ISERROR(SEARCH("Negative",P2)))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showGridLines="0" tabSelected="1" workbookViewId="0">
      <selection activeCell="B33" sqref="B33"/>
    </sheetView>
  </sheetViews>
  <sheetFormatPr defaultColWidth="9" defaultRowHeight="13.8"/>
  <cols>
    <col min="1" max="1" width="9.33333333333333" customWidth="1"/>
    <col min="2" max="2" width="34.6666666666667" customWidth="1"/>
    <col min="3" max="3" width="22" customWidth="1"/>
    <col min="4" max="4" width="20" customWidth="1"/>
    <col min="5" max="5" width="11.3333333333333" customWidth="1"/>
    <col min="6" max="6" width="17.3333333333333" customWidth="1"/>
    <col min="7" max="7" width="15.3333333333333" customWidth="1"/>
    <col min="8" max="8" width="13.3333333333333" customWidth="1"/>
    <col min="9" max="9" width="14" customWidth="1"/>
    <col min="10" max="11" width="14.6666666666667" customWidth="1"/>
    <col min="12" max="14" width="11.3333333333333" customWidth="1"/>
    <col min="15" max="15" width="17.3333333333333" customWidth="1"/>
    <col min="16" max="16" width="64" customWidth="1"/>
  </cols>
  <sheetData>
    <row r="1" ht="44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 spans="1:16">
      <c r="A2" s="7">
        <v>42</v>
      </c>
      <c r="B2" s="2" t="s">
        <v>16</v>
      </c>
      <c r="C2" s="2" t="s">
        <v>17</v>
      </c>
      <c r="D2" s="2" t="s">
        <v>18</v>
      </c>
      <c r="E2" s="7">
        <v>20000</v>
      </c>
      <c r="F2" s="7">
        <v>1611583527</v>
      </c>
      <c r="G2" s="6">
        <v>0.1005</v>
      </c>
      <c r="H2" s="6">
        <v>5.62597390050082</v>
      </c>
      <c r="I2" s="6">
        <f t="shared" ref="I2:I19" si="0">H2/SQRT(E2)</f>
        <v>0.0397816429582266</v>
      </c>
      <c r="J2" s="6">
        <f t="shared" ref="J2:J19" si="1">G2-1.96*I2</f>
        <v>0.0225279798018758</v>
      </c>
      <c r="K2" s="6">
        <f t="shared" ref="K2:K19" si="2">G2+1.96*I2</f>
        <v>0.178472020198124</v>
      </c>
      <c r="L2" s="7">
        <v>4741</v>
      </c>
      <c r="M2" s="7">
        <v>4621</v>
      </c>
      <c r="N2" s="7">
        <v>10638</v>
      </c>
      <c r="O2" s="2" t="str">
        <f t="shared" ref="O2:O19" si="3">IF(J2&gt;0,"Positive",IF(K2&lt;0,"Negative","Includes zero"))</f>
        <v>Positive</v>
      </c>
      <c r="P2" s="2" t="s">
        <v>19</v>
      </c>
    </row>
    <row r="3" ht="30" customHeight="1" spans="1:16">
      <c r="A3" s="7">
        <v>42</v>
      </c>
      <c r="B3" s="2" t="s">
        <v>20</v>
      </c>
      <c r="C3" s="2" t="s">
        <v>21</v>
      </c>
      <c r="D3" s="2" t="s">
        <v>18</v>
      </c>
      <c r="E3" s="7">
        <v>20000</v>
      </c>
      <c r="F3" s="7">
        <v>1611583527</v>
      </c>
      <c r="G3" s="6">
        <v>0.14695</v>
      </c>
      <c r="H3" s="6">
        <v>5.66342294160261</v>
      </c>
      <c r="I3" s="6">
        <f t="shared" si="0"/>
        <v>0.0400464476673467</v>
      </c>
      <c r="J3" s="6">
        <f t="shared" si="1"/>
        <v>0.0684589625720004</v>
      </c>
      <c r="K3" s="6">
        <f t="shared" si="2"/>
        <v>0.225441037428</v>
      </c>
      <c r="L3" s="7">
        <v>4782</v>
      </c>
      <c r="M3" s="7">
        <v>4594</v>
      </c>
      <c r="N3" s="7">
        <v>10624</v>
      </c>
      <c r="O3" s="2" t="str">
        <f t="shared" si="3"/>
        <v>Positive</v>
      </c>
      <c r="P3" s="2" t="s">
        <v>19</v>
      </c>
    </row>
    <row r="4" ht="30" customHeight="1" spans="1:16">
      <c r="A4" s="7">
        <v>42</v>
      </c>
      <c r="B4" s="2" t="s">
        <v>22</v>
      </c>
      <c r="C4" s="2" t="s">
        <v>23</v>
      </c>
      <c r="D4" s="2" t="s">
        <v>18</v>
      </c>
      <c r="E4" s="7">
        <v>20000</v>
      </c>
      <c r="F4" s="7">
        <v>1611583527</v>
      </c>
      <c r="G4" s="6">
        <v>0.18855</v>
      </c>
      <c r="H4" s="6">
        <v>5.65813570202069</v>
      </c>
      <c r="I4" s="6">
        <f t="shared" si="0"/>
        <v>0.0400090612377253</v>
      </c>
      <c r="J4" s="6">
        <f t="shared" si="1"/>
        <v>0.110132239974058</v>
      </c>
      <c r="K4" s="6">
        <f t="shared" si="2"/>
        <v>0.266967760025942</v>
      </c>
      <c r="L4" s="7">
        <v>4799</v>
      </c>
      <c r="M4" s="7">
        <v>4527</v>
      </c>
      <c r="N4" s="7">
        <v>10674</v>
      </c>
      <c r="O4" s="2" t="str">
        <f t="shared" si="3"/>
        <v>Positive</v>
      </c>
      <c r="P4" s="2" t="s">
        <v>19</v>
      </c>
    </row>
    <row r="5" ht="30" customHeight="1" spans="1:16">
      <c r="A5" s="7">
        <v>42</v>
      </c>
      <c r="B5" s="2" t="s">
        <v>27</v>
      </c>
      <c r="C5" s="2" t="s">
        <v>17</v>
      </c>
      <c r="D5" s="2" t="s">
        <v>21</v>
      </c>
      <c r="E5" s="7">
        <v>20000</v>
      </c>
      <c r="F5" s="7">
        <v>1611583527</v>
      </c>
      <c r="G5" s="6">
        <v>-0.04545</v>
      </c>
      <c r="H5" s="6">
        <v>5.55049769829111</v>
      </c>
      <c r="I5" s="6">
        <f t="shared" si="0"/>
        <v>0.0392479456142197</v>
      </c>
      <c r="J5" s="6">
        <f t="shared" si="1"/>
        <v>-0.122375973403871</v>
      </c>
      <c r="K5" s="6">
        <f t="shared" si="2"/>
        <v>0.0314759734038706</v>
      </c>
      <c r="L5" s="7">
        <v>4561</v>
      </c>
      <c r="M5" s="7">
        <v>4672</v>
      </c>
      <c r="N5" s="7">
        <v>10767</v>
      </c>
      <c r="O5" s="2" t="str">
        <f t="shared" si="3"/>
        <v>Includes zero</v>
      </c>
      <c r="P5" s="2" t="s">
        <v>19</v>
      </c>
    </row>
    <row r="6" ht="30" customHeight="1" spans="1:16">
      <c r="A6" s="7">
        <v>42</v>
      </c>
      <c r="B6" s="2" t="s">
        <v>28</v>
      </c>
      <c r="C6" s="2" t="s">
        <v>17</v>
      </c>
      <c r="D6" s="2" t="s">
        <v>23</v>
      </c>
      <c r="E6" s="7">
        <v>20000</v>
      </c>
      <c r="F6" s="7">
        <v>1611583527</v>
      </c>
      <c r="G6" s="6">
        <v>-0.0796</v>
      </c>
      <c r="H6" s="6">
        <v>5.61981698609019</v>
      </c>
      <c r="I6" s="6">
        <f t="shared" si="0"/>
        <v>0.0397381069989172</v>
      </c>
      <c r="J6" s="6">
        <f t="shared" si="1"/>
        <v>-0.157486689717878</v>
      </c>
      <c r="K6" s="6">
        <f t="shared" si="2"/>
        <v>-0.00171331028212229</v>
      </c>
      <c r="L6" s="7">
        <v>4596</v>
      </c>
      <c r="M6" s="7">
        <v>4704</v>
      </c>
      <c r="N6" s="7">
        <v>10700</v>
      </c>
      <c r="O6" s="2" t="str">
        <f t="shared" si="3"/>
        <v>Negative</v>
      </c>
      <c r="P6" s="2" t="s">
        <v>19</v>
      </c>
    </row>
    <row r="7" ht="30" customHeight="1" spans="1:16">
      <c r="A7" s="7">
        <v>42</v>
      </c>
      <c r="B7" s="2" t="s">
        <v>29</v>
      </c>
      <c r="C7" s="2" t="s">
        <v>21</v>
      </c>
      <c r="D7" s="2" t="s">
        <v>23</v>
      </c>
      <c r="E7" s="7">
        <v>20000</v>
      </c>
      <c r="F7" s="7">
        <v>1611583527</v>
      </c>
      <c r="G7" s="6">
        <v>-0.0256</v>
      </c>
      <c r="H7" s="6">
        <v>5.49881409831469</v>
      </c>
      <c r="I7" s="6">
        <f t="shared" si="0"/>
        <v>0.0388824873740251</v>
      </c>
      <c r="J7" s="6">
        <f t="shared" si="1"/>
        <v>-0.101809675253089</v>
      </c>
      <c r="K7" s="6">
        <f t="shared" si="2"/>
        <v>0.0506096752530892</v>
      </c>
      <c r="L7" s="7">
        <v>4438</v>
      </c>
      <c r="M7" s="7">
        <v>4507</v>
      </c>
      <c r="N7" s="7">
        <v>11055</v>
      </c>
      <c r="O7" s="2" t="str">
        <f t="shared" si="3"/>
        <v>Includes zero</v>
      </c>
      <c r="P7" s="2" t="s">
        <v>19</v>
      </c>
    </row>
    <row r="8" ht="30" customHeight="1" spans="1:16">
      <c r="A8" s="7">
        <v>43</v>
      </c>
      <c r="B8" s="2" t="s">
        <v>16</v>
      </c>
      <c r="C8" s="2" t="s">
        <v>17</v>
      </c>
      <c r="D8" s="2" t="s">
        <v>18</v>
      </c>
      <c r="E8" s="7">
        <v>20000</v>
      </c>
      <c r="F8" s="7">
        <v>1611583527</v>
      </c>
      <c r="G8" s="6">
        <v>0.0276</v>
      </c>
      <c r="H8" s="6">
        <v>5.63218645964565</v>
      </c>
      <c r="I8" s="6">
        <f t="shared" si="0"/>
        <v>0.0398255723852249</v>
      </c>
      <c r="J8" s="6">
        <f t="shared" si="1"/>
        <v>-0.0504581218750409</v>
      </c>
      <c r="K8" s="6">
        <f t="shared" si="2"/>
        <v>0.105658121875041</v>
      </c>
      <c r="L8" s="7">
        <v>4598</v>
      </c>
      <c r="M8" s="7">
        <v>4577</v>
      </c>
      <c r="N8" s="7">
        <v>10825</v>
      </c>
      <c r="O8" s="2" t="str">
        <f t="shared" si="3"/>
        <v>Includes zero</v>
      </c>
      <c r="P8" s="2" t="s">
        <v>24</v>
      </c>
    </row>
    <row r="9" ht="30" customHeight="1" spans="1:16">
      <c r="A9" s="7">
        <v>43</v>
      </c>
      <c r="B9" s="2" t="s">
        <v>20</v>
      </c>
      <c r="C9" s="2" t="s">
        <v>21</v>
      </c>
      <c r="D9" s="2" t="s">
        <v>18</v>
      </c>
      <c r="E9" s="7">
        <v>20000</v>
      </c>
      <c r="F9" s="7">
        <v>1611583527</v>
      </c>
      <c r="G9" s="6">
        <v>0.1286</v>
      </c>
      <c r="H9" s="6">
        <v>5.61164294719722</v>
      </c>
      <c r="I9" s="6">
        <f t="shared" si="0"/>
        <v>0.0396803078156082</v>
      </c>
      <c r="J9" s="6">
        <f t="shared" si="1"/>
        <v>0.0508265966814079</v>
      </c>
      <c r="K9" s="6">
        <f t="shared" si="2"/>
        <v>0.206373403318592</v>
      </c>
      <c r="L9" s="7">
        <v>4725</v>
      </c>
      <c r="M9" s="7">
        <v>4490</v>
      </c>
      <c r="N9" s="7">
        <v>10785</v>
      </c>
      <c r="O9" s="2" t="str">
        <f t="shared" si="3"/>
        <v>Positive</v>
      </c>
      <c r="P9" s="2" t="s">
        <v>24</v>
      </c>
    </row>
    <row r="10" ht="30" customHeight="1" spans="1:16">
      <c r="A10" s="7">
        <v>43</v>
      </c>
      <c r="B10" s="2" t="s">
        <v>22</v>
      </c>
      <c r="C10" s="2" t="s">
        <v>23</v>
      </c>
      <c r="D10" s="2" t="s">
        <v>18</v>
      </c>
      <c r="E10" s="7">
        <v>20000</v>
      </c>
      <c r="F10" s="7">
        <v>1611583527</v>
      </c>
      <c r="G10" s="6">
        <v>0.07935</v>
      </c>
      <c r="H10" s="6">
        <v>5.55709435248153</v>
      </c>
      <c r="I10" s="6">
        <f t="shared" si="0"/>
        <v>0.0392945910033316</v>
      </c>
      <c r="J10" s="6">
        <f t="shared" si="1"/>
        <v>0.00233260163347014</v>
      </c>
      <c r="K10" s="6">
        <f t="shared" si="2"/>
        <v>0.15636739836653</v>
      </c>
      <c r="L10" s="7">
        <v>4574</v>
      </c>
      <c r="M10" s="7">
        <v>4476</v>
      </c>
      <c r="N10" s="7">
        <v>10950</v>
      </c>
      <c r="O10" s="2" t="str">
        <f t="shared" si="3"/>
        <v>Positive</v>
      </c>
      <c r="P10" s="2" t="s">
        <v>24</v>
      </c>
    </row>
    <row r="11" ht="30" customHeight="1" spans="1:16">
      <c r="A11" s="7">
        <v>43</v>
      </c>
      <c r="B11" s="2" t="s">
        <v>27</v>
      </c>
      <c r="C11" s="2" t="s">
        <v>17</v>
      </c>
      <c r="D11" s="2" t="s">
        <v>21</v>
      </c>
      <c r="E11" s="7">
        <v>20000</v>
      </c>
      <c r="F11" s="7">
        <v>1611583527</v>
      </c>
      <c r="G11" s="6">
        <v>-0.07735</v>
      </c>
      <c r="H11" s="6">
        <v>5.55200037940476</v>
      </c>
      <c r="I11" s="6">
        <f t="shared" si="0"/>
        <v>0.0392585711742739</v>
      </c>
      <c r="J11" s="6">
        <f t="shared" si="1"/>
        <v>-0.154296799501577</v>
      </c>
      <c r="K11" s="6">
        <f t="shared" si="2"/>
        <v>-0.000403200498423087</v>
      </c>
      <c r="L11" s="7">
        <v>4517</v>
      </c>
      <c r="M11" s="7">
        <v>4613</v>
      </c>
      <c r="N11" s="7">
        <v>10870</v>
      </c>
      <c r="O11" s="2" t="str">
        <f t="shared" si="3"/>
        <v>Negative</v>
      </c>
      <c r="P11" s="2" t="s">
        <v>24</v>
      </c>
    </row>
    <row r="12" ht="30" customHeight="1" spans="1:16">
      <c r="A12" s="7">
        <v>43</v>
      </c>
      <c r="B12" s="2" t="s">
        <v>28</v>
      </c>
      <c r="C12" s="2" t="s">
        <v>17</v>
      </c>
      <c r="D12" s="2" t="s">
        <v>23</v>
      </c>
      <c r="E12" s="7">
        <v>20000</v>
      </c>
      <c r="F12" s="7">
        <v>1611583527</v>
      </c>
      <c r="G12" s="6">
        <v>-0.0147</v>
      </c>
      <c r="H12" s="6">
        <v>5.571591876816</v>
      </c>
      <c r="I12" s="6">
        <f t="shared" si="0"/>
        <v>0.0393971039810048</v>
      </c>
      <c r="J12" s="6">
        <f t="shared" si="1"/>
        <v>-0.0919183238027694</v>
      </c>
      <c r="K12" s="6">
        <f t="shared" si="2"/>
        <v>0.0625183238027694</v>
      </c>
      <c r="L12" s="7">
        <v>4609</v>
      </c>
      <c r="M12" s="7">
        <v>4546</v>
      </c>
      <c r="N12" s="7">
        <v>10845</v>
      </c>
      <c r="O12" s="2" t="str">
        <f t="shared" si="3"/>
        <v>Includes zero</v>
      </c>
      <c r="P12" s="2" t="s">
        <v>24</v>
      </c>
    </row>
    <row r="13" ht="30" customHeight="1" spans="1:16">
      <c r="A13" s="7">
        <v>43</v>
      </c>
      <c r="B13" s="2" t="s">
        <v>29</v>
      </c>
      <c r="C13" s="2" t="s">
        <v>21</v>
      </c>
      <c r="D13" s="2" t="s">
        <v>23</v>
      </c>
      <c r="E13" s="7">
        <v>20000</v>
      </c>
      <c r="F13" s="7">
        <v>1611583527</v>
      </c>
      <c r="G13" s="6">
        <v>0.0656</v>
      </c>
      <c r="H13" s="6">
        <v>5.50748701865588</v>
      </c>
      <c r="I13" s="6">
        <f t="shared" si="0"/>
        <v>0.0389438141818845</v>
      </c>
      <c r="J13" s="6">
        <f t="shared" si="1"/>
        <v>-0.0107298757964937</v>
      </c>
      <c r="K13" s="6">
        <f t="shared" si="2"/>
        <v>0.141929875796494</v>
      </c>
      <c r="L13" s="7">
        <v>4619</v>
      </c>
      <c r="M13" s="7">
        <v>4411</v>
      </c>
      <c r="N13" s="7">
        <v>10970</v>
      </c>
      <c r="O13" s="2" t="str">
        <f t="shared" si="3"/>
        <v>Includes zero</v>
      </c>
      <c r="P13" s="2" t="s">
        <v>24</v>
      </c>
    </row>
    <row r="14" ht="30" customHeight="1" spans="1:16">
      <c r="A14" s="7">
        <v>44</v>
      </c>
      <c r="B14" s="2" t="s">
        <v>16</v>
      </c>
      <c r="C14" s="2" t="s">
        <v>17</v>
      </c>
      <c r="D14" s="2" t="s">
        <v>18</v>
      </c>
      <c r="E14" s="7">
        <v>20000</v>
      </c>
      <c r="F14" s="7">
        <v>1611583527</v>
      </c>
      <c r="G14" s="6">
        <v>-0.027</v>
      </c>
      <c r="H14" s="6">
        <v>5.62272636294775</v>
      </c>
      <c r="I14" s="6">
        <f t="shared" si="0"/>
        <v>0.0397586793999673</v>
      </c>
      <c r="J14" s="6">
        <f t="shared" si="1"/>
        <v>-0.104927011623936</v>
      </c>
      <c r="K14" s="6">
        <f t="shared" si="2"/>
        <v>0.0509270116239358</v>
      </c>
      <c r="L14" s="7">
        <v>4507</v>
      </c>
      <c r="M14" s="7">
        <v>4593</v>
      </c>
      <c r="N14" s="7">
        <v>10900</v>
      </c>
      <c r="O14" s="2" t="str">
        <f t="shared" si="3"/>
        <v>Includes zero</v>
      </c>
      <c r="P14" s="2" t="s">
        <v>25</v>
      </c>
    </row>
    <row r="15" ht="30" customHeight="1" spans="1:16">
      <c r="A15" s="7">
        <v>44</v>
      </c>
      <c r="B15" s="2" t="s">
        <v>20</v>
      </c>
      <c r="C15" s="2" t="s">
        <v>21</v>
      </c>
      <c r="D15" s="2" t="s">
        <v>18</v>
      </c>
      <c r="E15" s="7">
        <v>20000</v>
      </c>
      <c r="F15" s="7">
        <v>1611583527</v>
      </c>
      <c r="G15" s="6">
        <v>0.0341</v>
      </c>
      <c r="H15" s="6">
        <v>5.66832812098809</v>
      </c>
      <c r="I15" s="6">
        <f t="shared" si="0"/>
        <v>0.0400811325234108</v>
      </c>
      <c r="J15" s="6">
        <f t="shared" si="1"/>
        <v>-0.0444590197458851</v>
      </c>
      <c r="K15" s="6">
        <f t="shared" si="2"/>
        <v>0.112659019745885</v>
      </c>
      <c r="L15" s="7">
        <v>4715</v>
      </c>
      <c r="M15" s="7">
        <v>4585</v>
      </c>
      <c r="N15" s="7">
        <v>10700</v>
      </c>
      <c r="O15" s="2" t="str">
        <f t="shared" si="3"/>
        <v>Includes zero</v>
      </c>
      <c r="P15" s="2" t="s">
        <v>25</v>
      </c>
    </row>
    <row r="16" ht="30" customHeight="1" spans="1:16">
      <c r="A16" s="7">
        <v>44</v>
      </c>
      <c r="B16" s="2" t="s">
        <v>22</v>
      </c>
      <c r="C16" s="2" t="s">
        <v>23</v>
      </c>
      <c r="D16" s="2" t="s">
        <v>18</v>
      </c>
      <c r="E16" s="7">
        <v>20000</v>
      </c>
      <c r="F16" s="7">
        <v>1611583527</v>
      </c>
      <c r="G16" s="6">
        <v>0.0195</v>
      </c>
      <c r="H16" s="6">
        <v>5.69402676908375</v>
      </c>
      <c r="I16" s="6">
        <f t="shared" si="0"/>
        <v>0.0402628494067685</v>
      </c>
      <c r="J16" s="6">
        <f t="shared" si="1"/>
        <v>-0.0594151848372662</v>
      </c>
      <c r="K16" s="6">
        <f t="shared" si="2"/>
        <v>0.0984151848372662</v>
      </c>
      <c r="L16" s="7">
        <v>4616</v>
      </c>
      <c r="M16" s="7">
        <v>4529</v>
      </c>
      <c r="N16" s="7">
        <v>10855</v>
      </c>
      <c r="O16" s="2" t="str">
        <f t="shared" si="3"/>
        <v>Includes zero</v>
      </c>
      <c r="P16" s="2" t="s">
        <v>25</v>
      </c>
    </row>
    <row r="17" ht="30" customHeight="1" spans="1:16">
      <c r="A17" s="7">
        <v>44</v>
      </c>
      <c r="B17" s="2" t="s">
        <v>27</v>
      </c>
      <c r="C17" s="2" t="s">
        <v>17</v>
      </c>
      <c r="D17" s="2" t="s">
        <v>21</v>
      </c>
      <c r="E17" s="7">
        <v>20000</v>
      </c>
      <c r="F17" s="7">
        <v>1611583527</v>
      </c>
      <c r="G17" s="6">
        <v>-0.06215</v>
      </c>
      <c r="H17" s="6">
        <v>5.66274586327478</v>
      </c>
      <c r="I17" s="6">
        <f t="shared" si="0"/>
        <v>0.0400416600005766</v>
      </c>
      <c r="J17" s="6">
        <f t="shared" si="1"/>
        <v>-0.14063165360113</v>
      </c>
      <c r="K17" s="6">
        <f t="shared" si="2"/>
        <v>0.0163316536011302</v>
      </c>
      <c r="L17" s="7">
        <v>4537</v>
      </c>
      <c r="M17" s="7">
        <v>4785</v>
      </c>
      <c r="N17" s="7">
        <v>10678</v>
      </c>
      <c r="O17" s="2" t="str">
        <f t="shared" si="3"/>
        <v>Includes zero</v>
      </c>
      <c r="P17" s="2" t="s">
        <v>25</v>
      </c>
    </row>
    <row r="18" ht="30" customHeight="1" spans="1:16">
      <c r="A18" s="7">
        <v>44</v>
      </c>
      <c r="B18" s="2" t="s">
        <v>28</v>
      </c>
      <c r="C18" s="2" t="s">
        <v>17</v>
      </c>
      <c r="D18" s="2" t="s">
        <v>23</v>
      </c>
      <c r="E18" s="7">
        <v>20000</v>
      </c>
      <c r="F18" s="7">
        <v>1611583527</v>
      </c>
      <c r="G18" s="6">
        <v>-0.0019</v>
      </c>
      <c r="H18" s="6">
        <v>5.74957818213333</v>
      </c>
      <c r="I18" s="6">
        <f t="shared" si="0"/>
        <v>0.040655657215487</v>
      </c>
      <c r="J18" s="6">
        <f t="shared" si="1"/>
        <v>-0.0815850881423545</v>
      </c>
      <c r="K18" s="6">
        <f t="shared" si="2"/>
        <v>0.0777850881423545</v>
      </c>
      <c r="L18" s="7">
        <v>4667</v>
      </c>
      <c r="M18" s="7">
        <v>4762</v>
      </c>
      <c r="N18" s="7">
        <v>10571</v>
      </c>
      <c r="O18" s="2" t="str">
        <f t="shared" si="3"/>
        <v>Includes zero</v>
      </c>
      <c r="P18" s="2" t="s">
        <v>25</v>
      </c>
    </row>
    <row r="19" ht="30" customHeight="1" spans="1:16">
      <c r="A19" s="7">
        <v>44</v>
      </c>
      <c r="B19" s="2" t="s">
        <v>29</v>
      </c>
      <c r="C19" s="2" t="s">
        <v>21</v>
      </c>
      <c r="D19" s="2" t="s">
        <v>23</v>
      </c>
      <c r="E19" s="7">
        <v>20000</v>
      </c>
      <c r="F19" s="7">
        <v>1611583527</v>
      </c>
      <c r="G19" s="6">
        <v>0.0316</v>
      </c>
      <c r="H19" s="6">
        <v>5.73628335138131</v>
      </c>
      <c r="I19" s="6">
        <f t="shared" si="0"/>
        <v>0.0405616485656922</v>
      </c>
      <c r="J19" s="6">
        <f t="shared" si="1"/>
        <v>-0.0479008311887567</v>
      </c>
      <c r="K19" s="6">
        <f t="shared" si="2"/>
        <v>0.111100831188757</v>
      </c>
      <c r="L19" s="7">
        <v>4690</v>
      </c>
      <c r="M19" s="7">
        <v>4663</v>
      </c>
      <c r="N19" s="7">
        <v>10647</v>
      </c>
      <c r="O19" s="2" t="str">
        <f t="shared" si="3"/>
        <v>Includes zero</v>
      </c>
      <c r="P19" s="2" t="s">
        <v>25</v>
      </c>
    </row>
  </sheetData>
  <conditionalFormatting sqref="O2:O19">
    <cfRule type="containsText" dxfId="18" priority="1" operator="between" text="Positive">
      <formula>NOT(ISERROR(SEARCH("Positive",O2)))</formula>
    </cfRule>
    <cfRule type="containsText" dxfId="19" priority="2" operator="between" text="Negative">
      <formula>NOT(ISERROR(SEARCH("Negative",O2)))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showGridLines="0" workbookViewId="0">
      <selection activeCell="P13" sqref="A1:P13"/>
    </sheetView>
  </sheetViews>
  <sheetFormatPr defaultColWidth="9" defaultRowHeight="13.8"/>
  <cols>
    <col min="1" max="1" width="9.33333333333333" customWidth="1"/>
    <col min="2" max="2" width="34.6666666666667" customWidth="1"/>
    <col min="3" max="3" width="22" customWidth="1"/>
    <col min="4" max="4" width="20" customWidth="1"/>
    <col min="5" max="5" width="11.3333333333333" customWidth="1"/>
    <col min="6" max="6" width="17.3333333333333" customWidth="1"/>
    <col min="7" max="7" width="15.3333333333333" customWidth="1"/>
    <col min="8" max="8" width="13.3333333333333" customWidth="1"/>
    <col min="9" max="9" width="14" customWidth="1"/>
    <col min="10" max="11" width="14.6666666666667" customWidth="1"/>
    <col min="12" max="14" width="11.3333333333333" customWidth="1"/>
    <col min="15" max="15" width="17.3333333333333" customWidth="1"/>
    <col min="16" max="16" width="64" customWidth="1"/>
  </cols>
  <sheetData>
    <row r="1" ht="44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 spans="1:16">
      <c r="A2" s="7">
        <v>42</v>
      </c>
      <c r="B2" s="2" t="s">
        <v>125</v>
      </c>
      <c r="C2" s="2" t="s">
        <v>18</v>
      </c>
      <c r="D2" s="2" t="s">
        <v>126</v>
      </c>
      <c r="E2" s="7">
        <v>20000</v>
      </c>
      <c r="F2" s="7">
        <v>1611583527</v>
      </c>
      <c r="G2" s="6">
        <v>-1.22405</v>
      </c>
      <c r="H2" s="6">
        <v>6.65452220153983</v>
      </c>
      <c r="I2" s="6">
        <f t="shared" ref="I2:I13" si="0">H2/SQRT(E2)</f>
        <v>0.0470545777426525</v>
      </c>
      <c r="J2" s="6">
        <f t="shared" ref="J2:J13" si="1">G2-1.96*I2</f>
        <v>-1.3162769723756</v>
      </c>
      <c r="K2" s="6">
        <f t="shared" ref="K2:K13" si="2">G2+1.96*I2</f>
        <v>-1.1318230276244</v>
      </c>
      <c r="L2" s="7">
        <v>5643</v>
      </c>
      <c r="M2" s="7">
        <v>7682</v>
      </c>
      <c r="N2" s="7">
        <v>6675</v>
      </c>
      <c r="O2" s="2" t="str">
        <f t="shared" ref="O2:O13" si="3">IF(J2&gt;0,"Positive",IF(K2&lt;0,"Negative","Includes zero"))</f>
        <v>Negative</v>
      </c>
      <c r="P2" s="2" t="s">
        <v>127</v>
      </c>
    </row>
    <row r="3" ht="30" customHeight="1" spans="1:16">
      <c r="A3" s="7">
        <v>42</v>
      </c>
      <c r="B3" s="2" t="s">
        <v>128</v>
      </c>
      <c r="C3" s="2" t="s">
        <v>17</v>
      </c>
      <c r="D3" s="2" t="s">
        <v>126</v>
      </c>
      <c r="E3" s="7">
        <v>20000</v>
      </c>
      <c r="F3" s="7">
        <v>1611583527</v>
      </c>
      <c r="G3" s="6">
        <v>-1.08865</v>
      </c>
      <c r="H3" s="6">
        <v>6.53222968661803</v>
      </c>
      <c r="I3" s="6">
        <f t="shared" si="0"/>
        <v>0.0461898390767569</v>
      </c>
      <c r="J3" s="6">
        <f t="shared" si="1"/>
        <v>-1.17918208459044</v>
      </c>
      <c r="K3" s="6">
        <f t="shared" si="2"/>
        <v>-0.998117915409556</v>
      </c>
      <c r="L3" s="7">
        <v>5663</v>
      </c>
      <c r="M3" s="7">
        <v>7533</v>
      </c>
      <c r="N3" s="7">
        <v>6804</v>
      </c>
      <c r="O3" s="2" t="str">
        <f t="shared" si="3"/>
        <v>Negative</v>
      </c>
      <c r="P3" s="2" t="s">
        <v>127</v>
      </c>
    </row>
    <row r="4" ht="30" customHeight="1" spans="1:16">
      <c r="A4" s="7">
        <v>42</v>
      </c>
      <c r="B4" s="2" t="s">
        <v>129</v>
      </c>
      <c r="C4" s="2" t="s">
        <v>21</v>
      </c>
      <c r="D4" s="2" t="s">
        <v>126</v>
      </c>
      <c r="E4" s="7">
        <v>20000</v>
      </c>
      <c r="F4" s="7">
        <v>1611583527</v>
      </c>
      <c r="G4" s="6">
        <v>-1.03315</v>
      </c>
      <c r="H4" s="6">
        <v>6.48707601198408</v>
      </c>
      <c r="I4" s="6">
        <f t="shared" si="0"/>
        <v>0.0458705543814653</v>
      </c>
      <c r="J4" s="6">
        <f t="shared" si="1"/>
        <v>-1.12305628658767</v>
      </c>
      <c r="K4" s="6">
        <f t="shared" si="2"/>
        <v>-0.943243713412328</v>
      </c>
      <c r="L4" s="7">
        <v>5650</v>
      </c>
      <c r="M4" s="7">
        <v>7476</v>
      </c>
      <c r="N4" s="7">
        <v>6874</v>
      </c>
      <c r="O4" s="2" t="str">
        <f t="shared" si="3"/>
        <v>Negative</v>
      </c>
      <c r="P4" s="2" t="s">
        <v>127</v>
      </c>
    </row>
    <row r="5" ht="30" customHeight="1" spans="1:16">
      <c r="A5" s="7">
        <v>42</v>
      </c>
      <c r="B5" s="2" t="s">
        <v>130</v>
      </c>
      <c r="C5" s="2" t="s">
        <v>23</v>
      </c>
      <c r="D5" s="2" t="s">
        <v>126</v>
      </c>
      <c r="E5" s="7">
        <v>20000</v>
      </c>
      <c r="F5" s="7">
        <v>1611583527</v>
      </c>
      <c r="G5" s="6">
        <v>-1.07375</v>
      </c>
      <c r="H5" s="6">
        <v>6.49359833054555</v>
      </c>
      <c r="I5" s="6">
        <f t="shared" si="0"/>
        <v>0.045916674138304</v>
      </c>
      <c r="J5" s="6">
        <f t="shared" si="1"/>
        <v>-1.16374668131108</v>
      </c>
      <c r="K5" s="6">
        <f t="shared" si="2"/>
        <v>-0.983753318688924</v>
      </c>
      <c r="L5" s="7">
        <v>5646</v>
      </c>
      <c r="M5" s="7">
        <v>7552</v>
      </c>
      <c r="N5" s="7">
        <v>6802</v>
      </c>
      <c r="O5" s="2" t="str">
        <f t="shared" si="3"/>
        <v>Negative</v>
      </c>
      <c r="P5" s="2" t="s">
        <v>127</v>
      </c>
    </row>
    <row r="6" ht="30" customHeight="1" spans="1:16">
      <c r="A6" s="7">
        <v>43</v>
      </c>
      <c r="B6" s="2" t="s">
        <v>125</v>
      </c>
      <c r="C6" s="2" t="s">
        <v>18</v>
      </c>
      <c r="D6" s="2" t="s">
        <v>126</v>
      </c>
      <c r="E6" s="7">
        <v>20000</v>
      </c>
      <c r="F6" s="7">
        <v>1611583527</v>
      </c>
      <c r="G6" s="6">
        <v>-1.06015</v>
      </c>
      <c r="H6" s="6">
        <v>6.60766335691006</v>
      </c>
      <c r="I6" s="6">
        <f t="shared" si="0"/>
        <v>0.0467232356746897</v>
      </c>
      <c r="J6" s="6">
        <f t="shared" si="1"/>
        <v>-1.15172754192239</v>
      </c>
      <c r="K6" s="6">
        <f t="shared" si="2"/>
        <v>-0.968572458077608</v>
      </c>
      <c r="L6" s="7">
        <v>5811</v>
      </c>
      <c r="M6" s="7">
        <v>7447</v>
      </c>
      <c r="N6" s="7">
        <v>6742</v>
      </c>
      <c r="O6" s="2" t="str">
        <f t="shared" si="3"/>
        <v>Negative</v>
      </c>
      <c r="P6" s="2" t="s">
        <v>131</v>
      </c>
    </row>
    <row r="7" ht="30" customHeight="1" spans="1:16">
      <c r="A7" s="7">
        <v>43</v>
      </c>
      <c r="B7" s="2" t="s">
        <v>128</v>
      </c>
      <c r="C7" s="2" t="s">
        <v>17</v>
      </c>
      <c r="D7" s="2" t="s">
        <v>126</v>
      </c>
      <c r="E7" s="7">
        <v>20000</v>
      </c>
      <c r="F7" s="7">
        <v>1611583527</v>
      </c>
      <c r="G7" s="6">
        <v>-1.0238</v>
      </c>
      <c r="H7" s="6">
        <v>6.48203937057776</v>
      </c>
      <c r="I7" s="6">
        <f t="shared" si="0"/>
        <v>0.0458349399485371</v>
      </c>
      <c r="J7" s="6">
        <f t="shared" si="1"/>
        <v>-1.11363648229913</v>
      </c>
      <c r="K7" s="6">
        <f t="shared" si="2"/>
        <v>-0.933963517700867</v>
      </c>
      <c r="L7" s="7">
        <v>5698</v>
      </c>
      <c r="M7" s="7">
        <v>7446</v>
      </c>
      <c r="N7" s="7">
        <v>6856</v>
      </c>
      <c r="O7" s="2" t="str">
        <f t="shared" si="3"/>
        <v>Negative</v>
      </c>
      <c r="P7" s="2" t="s">
        <v>131</v>
      </c>
    </row>
    <row r="8" ht="30" customHeight="1" spans="1:16">
      <c r="A8" s="7">
        <v>43</v>
      </c>
      <c r="B8" s="2" t="s">
        <v>129</v>
      </c>
      <c r="C8" s="2" t="s">
        <v>21</v>
      </c>
      <c r="D8" s="2" t="s">
        <v>126</v>
      </c>
      <c r="E8" s="7">
        <v>20000</v>
      </c>
      <c r="F8" s="7">
        <v>1611583527</v>
      </c>
      <c r="G8" s="6">
        <v>-1.06025</v>
      </c>
      <c r="H8" s="6">
        <v>6.48286366612515</v>
      </c>
      <c r="I8" s="6">
        <f t="shared" si="0"/>
        <v>0.0458407685982498</v>
      </c>
      <c r="J8" s="6">
        <f t="shared" si="1"/>
        <v>-1.15009790645257</v>
      </c>
      <c r="K8" s="6">
        <f t="shared" si="2"/>
        <v>-0.97040209354743</v>
      </c>
      <c r="L8" s="7">
        <v>5657</v>
      </c>
      <c r="M8" s="7">
        <v>7536</v>
      </c>
      <c r="N8" s="7">
        <v>6807</v>
      </c>
      <c r="O8" s="2" t="str">
        <f t="shared" si="3"/>
        <v>Negative</v>
      </c>
      <c r="P8" s="2" t="s">
        <v>131</v>
      </c>
    </row>
    <row r="9" ht="30" customHeight="1" spans="1:16">
      <c r="A9" s="7">
        <v>43</v>
      </c>
      <c r="B9" s="2" t="s">
        <v>130</v>
      </c>
      <c r="C9" s="2" t="s">
        <v>23</v>
      </c>
      <c r="D9" s="2" t="s">
        <v>126</v>
      </c>
      <c r="E9" s="7">
        <v>20000</v>
      </c>
      <c r="F9" s="7">
        <v>1611583527</v>
      </c>
      <c r="G9" s="6">
        <v>-1.01395</v>
      </c>
      <c r="H9" s="6">
        <v>6.50998267211362</v>
      </c>
      <c r="I9" s="6">
        <f t="shared" si="0"/>
        <v>0.0460325289285846</v>
      </c>
      <c r="J9" s="6">
        <f t="shared" si="1"/>
        <v>-1.10417375670003</v>
      </c>
      <c r="K9" s="6">
        <f t="shared" si="2"/>
        <v>-0.923726243299974</v>
      </c>
      <c r="L9" s="7">
        <v>5695</v>
      </c>
      <c r="M9" s="7">
        <v>7417</v>
      </c>
      <c r="N9" s="7">
        <v>6888</v>
      </c>
      <c r="O9" s="2" t="str">
        <f t="shared" si="3"/>
        <v>Negative</v>
      </c>
      <c r="P9" s="2" t="s">
        <v>131</v>
      </c>
    </row>
    <row r="10" ht="30" customHeight="1" spans="1:16">
      <c r="A10" s="7">
        <v>44</v>
      </c>
      <c r="B10" s="2" t="s">
        <v>125</v>
      </c>
      <c r="C10" s="2" t="s">
        <v>18</v>
      </c>
      <c r="D10" s="2" t="s">
        <v>126</v>
      </c>
      <c r="E10" s="7">
        <v>20000</v>
      </c>
      <c r="F10" s="7">
        <v>1611583527</v>
      </c>
      <c r="G10" s="6">
        <v>-1.0955</v>
      </c>
      <c r="H10" s="6">
        <v>6.55944594204063</v>
      </c>
      <c r="I10" s="6">
        <f t="shared" si="0"/>
        <v>0.0463822870644351</v>
      </c>
      <c r="J10" s="6">
        <f t="shared" si="1"/>
        <v>-1.18640928264629</v>
      </c>
      <c r="K10" s="6">
        <f t="shared" si="2"/>
        <v>-1.00459071735371</v>
      </c>
      <c r="L10" s="7">
        <v>5634</v>
      </c>
      <c r="M10" s="7">
        <v>7581</v>
      </c>
      <c r="N10" s="7">
        <v>6785</v>
      </c>
      <c r="O10" s="2" t="str">
        <f t="shared" si="3"/>
        <v>Negative</v>
      </c>
      <c r="P10" s="2" t="s">
        <v>132</v>
      </c>
    </row>
    <row r="11" ht="30" customHeight="1" spans="1:16">
      <c r="A11" s="7">
        <v>44</v>
      </c>
      <c r="B11" s="2" t="s">
        <v>128</v>
      </c>
      <c r="C11" s="2" t="s">
        <v>17</v>
      </c>
      <c r="D11" s="2" t="s">
        <v>126</v>
      </c>
      <c r="E11" s="7">
        <v>20000</v>
      </c>
      <c r="F11" s="7">
        <v>1611583527</v>
      </c>
      <c r="G11" s="6">
        <v>-1.035</v>
      </c>
      <c r="H11" s="6">
        <v>6.56038313906639</v>
      </c>
      <c r="I11" s="6">
        <f t="shared" si="0"/>
        <v>0.0463889140481573</v>
      </c>
      <c r="J11" s="6">
        <f t="shared" si="1"/>
        <v>-1.12592227153439</v>
      </c>
      <c r="K11" s="6">
        <f t="shared" si="2"/>
        <v>-0.944077728465612</v>
      </c>
      <c r="L11" s="7">
        <v>5751</v>
      </c>
      <c r="M11" s="7">
        <v>7485</v>
      </c>
      <c r="N11" s="7">
        <v>6764</v>
      </c>
      <c r="O11" s="2" t="str">
        <f t="shared" si="3"/>
        <v>Negative</v>
      </c>
      <c r="P11" s="2" t="s">
        <v>132</v>
      </c>
    </row>
    <row r="12" ht="30" customHeight="1" spans="1:16">
      <c r="A12" s="7">
        <v>44</v>
      </c>
      <c r="B12" s="2" t="s">
        <v>129</v>
      </c>
      <c r="C12" s="2" t="s">
        <v>21</v>
      </c>
      <c r="D12" s="2" t="s">
        <v>126</v>
      </c>
      <c r="E12" s="7">
        <v>20000</v>
      </c>
      <c r="F12" s="7">
        <v>1611583527</v>
      </c>
      <c r="G12" s="6">
        <v>-1.1388</v>
      </c>
      <c r="H12" s="6">
        <v>6.60073579577703</v>
      </c>
      <c r="I12" s="6">
        <f t="shared" si="0"/>
        <v>0.0466742504201472</v>
      </c>
      <c r="J12" s="6">
        <f t="shared" si="1"/>
        <v>-1.23028153082349</v>
      </c>
      <c r="K12" s="6">
        <f t="shared" si="2"/>
        <v>-1.04731846917651</v>
      </c>
      <c r="L12" s="7">
        <v>5716</v>
      </c>
      <c r="M12" s="7">
        <v>7642</v>
      </c>
      <c r="N12" s="7">
        <v>6642</v>
      </c>
      <c r="O12" s="2" t="str">
        <f t="shared" si="3"/>
        <v>Negative</v>
      </c>
      <c r="P12" s="2" t="s">
        <v>132</v>
      </c>
    </row>
    <row r="13" ht="30" customHeight="1" spans="1:16">
      <c r="A13" s="7">
        <v>44</v>
      </c>
      <c r="B13" s="2" t="s">
        <v>130</v>
      </c>
      <c r="C13" s="2" t="s">
        <v>23</v>
      </c>
      <c r="D13" s="2" t="s">
        <v>126</v>
      </c>
      <c r="E13" s="7">
        <v>20000</v>
      </c>
      <c r="F13" s="7">
        <v>1611583527</v>
      </c>
      <c r="G13" s="6">
        <v>-1.0406</v>
      </c>
      <c r="H13" s="6">
        <v>6.61938384233175</v>
      </c>
      <c r="I13" s="6">
        <f t="shared" si="0"/>
        <v>0.0468061120218944</v>
      </c>
      <c r="J13" s="6">
        <f t="shared" si="1"/>
        <v>-1.13233997956291</v>
      </c>
      <c r="K13" s="6">
        <f t="shared" si="2"/>
        <v>-0.948860020437087</v>
      </c>
      <c r="L13" s="7">
        <v>5737</v>
      </c>
      <c r="M13" s="7">
        <v>7516</v>
      </c>
      <c r="N13" s="7">
        <v>6747</v>
      </c>
      <c r="O13" s="2" t="str">
        <f t="shared" si="3"/>
        <v>Negative</v>
      </c>
      <c r="P13" s="2" t="s">
        <v>132</v>
      </c>
    </row>
  </sheetData>
  <conditionalFormatting sqref="O2:O13">
    <cfRule type="containsText" dxfId="18" priority="1" operator="between" text="Positive">
      <formula>NOT(ISERROR(SEARCH("Positive",O2)))</formula>
    </cfRule>
    <cfRule type="containsText" dxfId="19" priority="2" operator="between" text="Negative">
      <formula>NOT(ISERROR(SEARCH("Negative",O2)))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topLeftCell="H11" workbookViewId="0">
      <selection activeCell="P25" sqref="P25"/>
    </sheetView>
  </sheetViews>
  <sheetFormatPr defaultColWidth="9" defaultRowHeight="13.8"/>
  <cols>
    <col min="1" max="1" width="9.33333333333333" customWidth="1"/>
    <col min="2" max="2" width="34.6666666666667" customWidth="1"/>
    <col min="3" max="3" width="22" customWidth="1"/>
    <col min="4" max="4" width="20" customWidth="1"/>
    <col min="5" max="5" width="11.3333333333333" customWidth="1"/>
    <col min="6" max="6" width="17.3333333333333" customWidth="1"/>
    <col min="7" max="7" width="15.3333333333333" customWidth="1"/>
    <col min="8" max="8" width="13.3333333333333" customWidth="1"/>
    <col min="9" max="9" width="14" customWidth="1"/>
    <col min="10" max="11" width="14.6666666666667" customWidth="1"/>
    <col min="12" max="14" width="11.3333333333333" customWidth="1"/>
    <col min="15" max="15" width="17.3333333333333" customWidth="1"/>
    <col min="16" max="16" width="64" customWidth="1"/>
  </cols>
  <sheetData>
    <row r="1" ht="44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" customHeight="1" spans="1:16">
      <c r="A2" s="7">
        <v>42</v>
      </c>
      <c r="B2" s="2" t="s">
        <v>133</v>
      </c>
      <c r="C2" s="2" t="s">
        <v>134</v>
      </c>
      <c r="D2" s="2" t="s">
        <v>135</v>
      </c>
      <c r="E2" s="7">
        <v>20000</v>
      </c>
      <c r="F2" s="7">
        <v>1611583527</v>
      </c>
      <c r="G2" s="6">
        <v>1.9848</v>
      </c>
      <c r="H2" s="6">
        <v>5.04730549151091</v>
      </c>
      <c r="I2" s="6">
        <f t="shared" ref="I2:I22" si="0">H2/SQRT(E2)</f>
        <v>0.0356898393976747</v>
      </c>
      <c r="J2" s="6">
        <f t="shared" ref="J2:J22" si="1">G2-1.96*I2</f>
        <v>1.91484791478056</v>
      </c>
      <c r="K2" s="6">
        <f t="shared" ref="K2:K22" si="2">G2+1.96*I2</f>
        <v>2.05475208521944</v>
      </c>
      <c r="L2" s="7">
        <v>11715</v>
      </c>
      <c r="M2" s="7">
        <v>5369</v>
      </c>
      <c r="N2" s="7">
        <v>2916</v>
      </c>
      <c r="O2" s="2" t="str">
        <f t="shared" ref="O2:O22" si="3">IF(J2&gt;0,"Positive",IF(K2&lt;0,"Negative","Includes zero"))</f>
        <v>Positive</v>
      </c>
      <c r="P2" s="2" t="s">
        <v>136</v>
      </c>
    </row>
    <row r="3" ht="30" customHeight="1" spans="1:16">
      <c r="A3" s="7">
        <v>42</v>
      </c>
      <c r="B3" s="2" t="s">
        <v>137</v>
      </c>
      <c r="C3" s="2" t="s">
        <v>138</v>
      </c>
      <c r="D3" s="2" t="s">
        <v>135</v>
      </c>
      <c r="E3" s="7">
        <v>20000</v>
      </c>
      <c r="F3" s="7">
        <v>1611583527</v>
      </c>
      <c r="G3" s="6">
        <v>2.91495</v>
      </c>
      <c r="H3" s="6">
        <v>7.79543167087281</v>
      </c>
      <c r="I3" s="6">
        <f t="shared" si="0"/>
        <v>0.0551220259675054</v>
      </c>
      <c r="J3" s="6">
        <f t="shared" si="1"/>
        <v>2.80691082910369</v>
      </c>
      <c r="K3" s="6">
        <f t="shared" si="2"/>
        <v>3.02298917089631</v>
      </c>
      <c r="L3" s="7">
        <v>10462</v>
      </c>
      <c r="M3" s="7">
        <v>4799</v>
      </c>
      <c r="N3" s="7">
        <v>4739</v>
      </c>
      <c r="O3" s="2" t="str">
        <f t="shared" si="3"/>
        <v>Positive</v>
      </c>
      <c r="P3" s="2" t="s">
        <v>136</v>
      </c>
    </row>
    <row r="4" ht="30" customHeight="1" spans="1:16">
      <c r="A4" s="7">
        <v>42</v>
      </c>
      <c r="B4" s="2" t="s">
        <v>139</v>
      </c>
      <c r="C4" s="2" t="s">
        <v>140</v>
      </c>
      <c r="D4" s="2" t="s">
        <v>135</v>
      </c>
      <c r="E4" s="7">
        <v>20000</v>
      </c>
      <c r="F4" s="7">
        <v>1611583527</v>
      </c>
      <c r="G4" s="6">
        <v>1.05465</v>
      </c>
      <c r="H4" s="6">
        <v>6.17148019002628</v>
      </c>
      <c r="I4" s="6">
        <f t="shared" si="0"/>
        <v>0.0436389549232602</v>
      </c>
      <c r="J4" s="6">
        <f t="shared" si="1"/>
        <v>0.96911764835041</v>
      </c>
      <c r="K4" s="6">
        <f t="shared" si="2"/>
        <v>1.14018235164959</v>
      </c>
      <c r="L4" s="7">
        <v>6891</v>
      </c>
      <c r="M4" s="7">
        <v>4393</v>
      </c>
      <c r="N4" s="7">
        <v>8716</v>
      </c>
      <c r="O4" s="2" t="str">
        <f t="shared" si="3"/>
        <v>Positive</v>
      </c>
      <c r="P4" s="2" t="s">
        <v>136</v>
      </c>
    </row>
    <row r="5" ht="30" customHeight="1" spans="1:16">
      <c r="A5" s="7">
        <v>43</v>
      </c>
      <c r="B5" s="2" t="s">
        <v>133</v>
      </c>
      <c r="C5" s="2" t="s">
        <v>134</v>
      </c>
      <c r="D5" s="2" t="s">
        <v>135</v>
      </c>
      <c r="E5" s="7">
        <v>20000</v>
      </c>
      <c r="F5" s="7">
        <v>1611583527</v>
      </c>
      <c r="G5" s="6">
        <v>1.972825</v>
      </c>
      <c r="H5" s="6">
        <v>5.0785468986025</v>
      </c>
      <c r="I5" s="6">
        <f t="shared" si="0"/>
        <v>0.0359107495057574</v>
      </c>
      <c r="J5" s="6">
        <f t="shared" si="1"/>
        <v>1.90243993096872</v>
      </c>
      <c r="K5" s="6">
        <f t="shared" si="2"/>
        <v>2.04321006903128</v>
      </c>
      <c r="L5" s="7">
        <v>11630</v>
      </c>
      <c r="M5" s="7">
        <v>5408</v>
      </c>
      <c r="N5" s="7">
        <v>2962</v>
      </c>
      <c r="O5" s="2" t="str">
        <f t="shared" si="3"/>
        <v>Positive</v>
      </c>
      <c r="P5" s="2" t="s">
        <v>141</v>
      </c>
    </row>
    <row r="6" ht="30" customHeight="1" spans="1:16">
      <c r="A6" s="7">
        <v>43</v>
      </c>
      <c r="B6" s="2" t="s">
        <v>137</v>
      </c>
      <c r="C6" s="2" t="s">
        <v>138</v>
      </c>
      <c r="D6" s="2" t="s">
        <v>135</v>
      </c>
      <c r="E6" s="7">
        <v>20000</v>
      </c>
      <c r="F6" s="7">
        <v>1611583527</v>
      </c>
      <c r="G6" s="6">
        <v>2.94795</v>
      </c>
      <c r="H6" s="6">
        <v>7.79547171545528</v>
      </c>
      <c r="I6" s="6">
        <f t="shared" si="0"/>
        <v>0.0551223091254636</v>
      </c>
      <c r="J6" s="6">
        <f t="shared" si="1"/>
        <v>2.83991027411409</v>
      </c>
      <c r="K6" s="6">
        <f t="shared" si="2"/>
        <v>3.05598972588591</v>
      </c>
      <c r="L6" s="7">
        <v>10448</v>
      </c>
      <c r="M6" s="7">
        <v>4777</v>
      </c>
      <c r="N6" s="7">
        <v>4775</v>
      </c>
      <c r="O6" s="2" t="str">
        <f t="shared" si="3"/>
        <v>Positive</v>
      </c>
      <c r="P6" s="2" t="s">
        <v>141</v>
      </c>
    </row>
    <row r="7" ht="30" customHeight="1" spans="1:16">
      <c r="A7" s="7">
        <v>43</v>
      </c>
      <c r="B7" s="2" t="s">
        <v>139</v>
      </c>
      <c r="C7" s="2" t="s">
        <v>140</v>
      </c>
      <c r="D7" s="2" t="s">
        <v>135</v>
      </c>
      <c r="E7" s="7">
        <v>20000</v>
      </c>
      <c r="F7" s="7">
        <v>1611583527</v>
      </c>
      <c r="G7" s="6">
        <v>0.9977</v>
      </c>
      <c r="H7" s="6">
        <v>6.21985763835894</v>
      </c>
      <c r="I7" s="6">
        <f t="shared" si="0"/>
        <v>0.0439810351409855</v>
      </c>
      <c r="J7" s="6">
        <f t="shared" si="1"/>
        <v>0.911497171123668</v>
      </c>
      <c r="K7" s="6">
        <f t="shared" si="2"/>
        <v>1.08390282887633</v>
      </c>
      <c r="L7" s="7">
        <v>6871</v>
      </c>
      <c r="M7" s="7">
        <v>4469</v>
      </c>
      <c r="N7" s="7">
        <v>8660</v>
      </c>
      <c r="O7" s="2" t="str">
        <f t="shared" si="3"/>
        <v>Positive</v>
      </c>
      <c r="P7" s="2" t="s">
        <v>141</v>
      </c>
    </row>
    <row r="8" ht="30" customHeight="1" spans="1:16">
      <c r="A8" s="7">
        <v>44</v>
      </c>
      <c r="B8" s="2" t="s">
        <v>133</v>
      </c>
      <c r="C8" s="2" t="s">
        <v>134</v>
      </c>
      <c r="D8" s="2" t="s">
        <v>135</v>
      </c>
      <c r="E8" s="7">
        <v>20000</v>
      </c>
      <c r="F8" s="7">
        <v>1611583527</v>
      </c>
      <c r="G8" s="6">
        <v>1.9951</v>
      </c>
      <c r="H8" s="6">
        <v>5.11136794743978</v>
      </c>
      <c r="I8" s="6">
        <f t="shared" si="0"/>
        <v>0.0361428293677423</v>
      </c>
      <c r="J8" s="6">
        <f t="shared" si="1"/>
        <v>1.92426005443923</v>
      </c>
      <c r="K8" s="6">
        <f t="shared" si="2"/>
        <v>2.06593994556078</v>
      </c>
      <c r="L8" s="7">
        <v>11713</v>
      </c>
      <c r="M8" s="7">
        <v>5412</v>
      </c>
      <c r="N8" s="7">
        <v>2875</v>
      </c>
      <c r="O8" s="2" t="str">
        <f t="shared" si="3"/>
        <v>Positive</v>
      </c>
      <c r="P8" s="2" t="s">
        <v>142</v>
      </c>
    </row>
    <row r="9" ht="30" customHeight="1" spans="1:16">
      <c r="A9" s="7">
        <v>44</v>
      </c>
      <c r="B9" s="2" t="s">
        <v>137</v>
      </c>
      <c r="C9" s="2" t="s">
        <v>138</v>
      </c>
      <c r="D9" s="2" t="s">
        <v>135</v>
      </c>
      <c r="E9" s="7">
        <v>20000</v>
      </c>
      <c r="F9" s="7">
        <v>1611583527</v>
      </c>
      <c r="G9" s="6">
        <v>2.9448</v>
      </c>
      <c r="H9" s="6">
        <v>7.84532538627435</v>
      </c>
      <c r="I9" s="6">
        <f t="shared" si="0"/>
        <v>0.0554748278124957</v>
      </c>
      <c r="J9" s="6">
        <f t="shared" si="1"/>
        <v>2.83606933748751</v>
      </c>
      <c r="K9" s="6">
        <f t="shared" si="2"/>
        <v>3.05353066251249</v>
      </c>
      <c r="L9" s="7">
        <v>10442</v>
      </c>
      <c r="M9" s="7">
        <v>4813</v>
      </c>
      <c r="N9" s="7">
        <v>4745</v>
      </c>
      <c r="O9" s="2" t="str">
        <f t="shared" si="3"/>
        <v>Positive</v>
      </c>
      <c r="P9" s="2" t="s">
        <v>142</v>
      </c>
    </row>
    <row r="10" ht="30" customHeight="1" spans="1:16">
      <c r="A10" s="7">
        <v>44</v>
      </c>
      <c r="B10" s="2" t="s">
        <v>139</v>
      </c>
      <c r="C10" s="2" t="s">
        <v>140</v>
      </c>
      <c r="D10" s="2" t="s">
        <v>135</v>
      </c>
      <c r="E10" s="7">
        <v>20000</v>
      </c>
      <c r="F10" s="7">
        <v>1611583527</v>
      </c>
      <c r="G10" s="6">
        <v>1.0454</v>
      </c>
      <c r="H10" s="6">
        <v>6.25569304911744</v>
      </c>
      <c r="I10" s="6">
        <f t="shared" si="0"/>
        <v>0.0442344297605249</v>
      </c>
      <c r="J10" s="6">
        <f t="shared" si="1"/>
        <v>0.958700517669371</v>
      </c>
      <c r="K10" s="6">
        <f t="shared" si="2"/>
        <v>1.13209948233063</v>
      </c>
      <c r="L10" s="7">
        <v>6994</v>
      </c>
      <c r="M10" s="7">
        <v>4437</v>
      </c>
      <c r="N10" s="7">
        <v>8569</v>
      </c>
      <c r="O10" s="2" t="str">
        <f t="shared" si="3"/>
        <v>Positive</v>
      </c>
      <c r="P10" s="2" t="s">
        <v>142</v>
      </c>
    </row>
    <row r="11" ht="30" customHeight="1" spans="1:16">
      <c r="A11" s="7">
        <v>42</v>
      </c>
      <c r="B11" s="2" t="s">
        <v>143</v>
      </c>
      <c r="C11" s="2" t="s">
        <v>134</v>
      </c>
      <c r="D11" s="2" t="s">
        <v>144</v>
      </c>
      <c r="E11" s="7">
        <v>20000</v>
      </c>
      <c r="F11" s="7">
        <v>1611583527</v>
      </c>
      <c r="G11" s="6">
        <v>0.34205</v>
      </c>
      <c r="H11" s="6">
        <v>3.76702950918441</v>
      </c>
      <c r="I11" s="6">
        <f t="shared" si="0"/>
        <v>0.0266369211087413</v>
      </c>
      <c r="J11" s="6">
        <f t="shared" si="1"/>
        <v>0.289841634626867</v>
      </c>
      <c r="K11" s="6">
        <f t="shared" si="2"/>
        <v>0.394258365373133</v>
      </c>
      <c r="L11" s="7">
        <v>6602</v>
      </c>
      <c r="M11" s="7">
        <v>5333</v>
      </c>
      <c r="N11" s="7">
        <v>8065</v>
      </c>
      <c r="O11" s="2" t="str">
        <f t="shared" si="3"/>
        <v>Positive</v>
      </c>
      <c r="P11" s="2" t="s">
        <v>145</v>
      </c>
    </row>
    <row r="12" ht="30" customHeight="1" spans="1:16">
      <c r="A12" s="7">
        <v>42</v>
      </c>
      <c r="B12" s="2" t="s">
        <v>146</v>
      </c>
      <c r="C12" s="2" t="s">
        <v>147</v>
      </c>
      <c r="D12" s="2" t="s">
        <v>144</v>
      </c>
      <c r="E12" s="7">
        <v>20000</v>
      </c>
      <c r="F12" s="7">
        <v>1611583527</v>
      </c>
      <c r="G12" s="6">
        <v>0.31735</v>
      </c>
      <c r="H12" s="6">
        <v>5.03997113513085</v>
      </c>
      <c r="I12" s="6">
        <f t="shared" si="0"/>
        <v>0.0356379776663549</v>
      </c>
      <c r="J12" s="6">
        <f t="shared" si="1"/>
        <v>0.247499563773944</v>
      </c>
      <c r="K12" s="6">
        <f t="shared" si="2"/>
        <v>0.387200436226056</v>
      </c>
      <c r="L12" s="7">
        <v>4383</v>
      </c>
      <c r="M12" s="7">
        <v>3617</v>
      </c>
      <c r="N12" s="7">
        <v>12000</v>
      </c>
      <c r="O12" s="2" t="str">
        <f t="shared" si="3"/>
        <v>Positive</v>
      </c>
      <c r="P12" s="2" t="s">
        <v>145</v>
      </c>
    </row>
    <row r="13" ht="30" customHeight="1" spans="1:16">
      <c r="A13" s="7">
        <v>42</v>
      </c>
      <c r="B13" s="2" t="s">
        <v>148</v>
      </c>
      <c r="C13" s="2" t="s">
        <v>149</v>
      </c>
      <c r="D13" s="2" t="s">
        <v>144</v>
      </c>
      <c r="E13" s="7">
        <v>20000</v>
      </c>
      <c r="F13" s="7">
        <v>1611583527</v>
      </c>
      <c r="G13" s="6">
        <v>0.36675</v>
      </c>
      <c r="H13" s="6">
        <v>5.13203286481744</v>
      </c>
      <c r="I13" s="6">
        <f t="shared" si="0"/>
        <v>0.0362889523998463</v>
      </c>
      <c r="J13" s="6">
        <f t="shared" si="1"/>
        <v>0.295623653296301</v>
      </c>
      <c r="K13" s="6">
        <f t="shared" si="2"/>
        <v>0.437876346703699</v>
      </c>
      <c r="L13" s="7">
        <v>4559</v>
      </c>
      <c r="M13" s="7">
        <v>3628</v>
      </c>
      <c r="N13" s="7">
        <v>11813</v>
      </c>
      <c r="O13" s="2" t="str">
        <f t="shared" si="3"/>
        <v>Positive</v>
      </c>
      <c r="P13" s="2" t="s">
        <v>145</v>
      </c>
    </row>
    <row r="14" ht="30" customHeight="1" spans="1:16">
      <c r="A14" s="7">
        <v>43</v>
      </c>
      <c r="B14" s="2" t="s">
        <v>143</v>
      </c>
      <c r="C14" s="2" t="s">
        <v>134</v>
      </c>
      <c r="D14" s="2" t="s">
        <v>144</v>
      </c>
      <c r="E14" s="7">
        <v>20000</v>
      </c>
      <c r="F14" s="7">
        <v>1611583527</v>
      </c>
      <c r="G14" s="6">
        <v>0.333225</v>
      </c>
      <c r="H14" s="6">
        <v>3.82404952466797</v>
      </c>
      <c r="I14" s="6">
        <f t="shared" si="0"/>
        <v>0.0270401135048592</v>
      </c>
      <c r="J14" s="6">
        <f t="shared" si="1"/>
        <v>0.280226377530476</v>
      </c>
      <c r="K14" s="6">
        <f t="shared" si="2"/>
        <v>0.386223622469524</v>
      </c>
      <c r="L14" s="7">
        <v>6625</v>
      </c>
      <c r="M14" s="7">
        <v>5390</v>
      </c>
      <c r="N14" s="7">
        <v>7985</v>
      </c>
      <c r="O14" s="2" t="str">
        <f t="shared" si="3"/>
        <v>Positive</v>
      </c>
      <c r="P14" s="2" t="s">
        <v>150</v>
      </c>
    </row>
    <row r="15" ht="30" customHeight="1" spans="1:16">
      <c r="A15" s="7">
        <v>43</v>
      </c>
      <c r="B15" s="2" t="s">
        <v>146</v>
      </c>
      <c r="C15" s="2" t="s">
        <v>147</v>
      </c>
      <c r="D15" s="2" t="s">
        <v>144</v>
      </c>
      <c r="E15" s="7">
        <v>20000</v>
      </c>
      <c r="F15" s="7">
        <v>1611583527</v>
      </c>
      <c r="G15" s="6">
        <v>0.32085</v>
      </c>
      <c r="H15" s="6">
        <v>5.1100206352856</v>
      </c>
      <c r="I15" s="6">
        <f t="shared" si="0"/>
        <v>0.0361333024321364</v>
      </c>
      <c r="J15" s="6">
        <f t="shared" si="1"/>
        <v>0.250028727233013</v>
      </c>
      <c r="K15" s="6">
        <f t="shared" si="2"/>
        <v>0.391671272766987</v>
      </c>
      <c r="L15" s="7">
        <v>4499</v>
      </c>
      <c r="M15" s="7">
        <v>3721</v>
      </c>
      <c r="N15" s="7">
        <v>11780</v>
      </c>
      <c r="O15" s="2" t="str">
        <f t="shared" si="3"/>
        <v>Positive</v>
      </c>
      <c r="P15" s="2" t="s">
        <v>150</v>
      </c>
    </row>
    <row r="16" ht="30" customHeight="1" spans="1:16">
      <c r="A16" s="7">
        <v>43</v>
      </c>
      <c r="B16" s="2" t="s">
        <v>148</v>
      </c>
      <c r="C16" s="2" t="s">
        <v>149</v>
      </c>
      <c r="D16" s="2" t="s">
        <v>144</v>
      </c>
      <c r="E16" s="7">
        <v>20000</v>
      </c>
      <c r="F16" s="7">
        <v>1611583527</v>
      </c>
      <c r="G16" s="6">
        <v>0.3456</v>
      </c>
      <c r="H16" s="6">
        <v>5.17933411888978</v>
      </c>
      <c r="I16" s="6">
        <f t="shared" si="0"/>
        <v>0.0366234227749781</v>
      </c>
      <c r="J16" s="6">
        <f t="shared" si="1"/>
        <v>0.273818091361043</v>
      </c>
      <c r="K16" s="6">
        <f t="shared" si="2"/>
        <v>0.417381908638957</v>
      </c>
      <c r="L16" s="7">
        <v>4608</v>
      </c>
      <c r="M16" s="7">
        <v>3652</v>
      </c>
      <c r="N16" s="7">
        <v>11740</v>
      </c>
      <c r="O16" s="2" t="str">
        <f t="shared" si="3"/>
        <v>Positive</v>
      </c>
      <c r="P16" s="2" t="s">
        <v>150</v>
      </c>
    </row>
    <row r="17" ht="30" customHeight="1" spans="1:16">
      <c r="A17" s="7">
        <v>44</v>
      </c>
      <c r="B17" s="2" t="s">
        <v>143</v>
      </c>
      <c r="C17" s="2" t="s">
        <v>134</v>
      </c>
      <c r="D17" s="2" t="s">
        <v>144</v>
      </c>
      <c r="E17" s="7">
        <v>20000</v>
      </c>
      <c r="F17" s="7">
        <v>1611583527</v>
      </c>
      <c r="G17" s="6">
        <v>0.3639</v>
      </c>
      <c r="H17" s="6">
        <v>3.81685802857016</v>
      </c>
      <c r="I17" s="6">
        <f t="shared" si="0"/>
        <v>0.0269892619482828</v>
      </c>
      <c r="J17" s="6">
        <f t="shared" si="1"/>
        <v>0.311001046581366</v>
      </c>
      <c r="K17" s="6">
        <f t="shared" si="2"/>
        <v>0.416798953418634</v>
      </c>
      <c r="L17" s="7">
        <v>6787</v>
      </c>
      <c r="M17" s="7">
        <v>5367</v>
      </c>
      <c r="N17" s="7">
        <v>7846</v>
      </c>
      <c r="O17" s="2" t="str">
        <f t="shared" si="3"/>
        <v>Positive</v>
      </c>
      <c r="P17" s="2" t="s">
        <v>151</v>
      </c>
    </row>
    <row r="18" ht="30" customHeight="1" spans="1:16">
      <c r="A18" s="7">
        <v>44</v>
      </c>
      <c r="B18" s="2" t="s">
        <v>146</v>
      </c>
      <c r="C18" s="2" t="s">
        <v>147</v>
      </c>
      <c r="D18" s="2" t="s">
        <v>144</v>
      </c>
      <c r="E18" s="7">
        <v>20000</v>
      </c>
      <c r="F18" s="7">
        <v>1611583527</v>
      </c>
      <c r="G18" s="6">
        <v>0.31895</v>
      </c>
      <c r="H18" s="6">
        <v>5.12587891285304</v>
      </c>
      <c r="I18" s="6">
        <f t="shared" si="0"/>
        <v>0.0362454373881951</v>
      </c>
      <c r="J18" s="6">
        <f t="shared" si="1"/>
        <v>0.247908942719138</v>
      </c>
      <c r="K18" s="6">
        <f t="shared" si="2"/>
        <v>0.389991057280862</v>
      </c>
      <c r="L18" s="7">
        <v>4473</v>
      </c>
      <c r="M18" s="7">
        <v>3734</v>
      </c>
      <c r="N18" s="7">
        <v>11793</v>
      </c>
      <c r="O18" s="2" t="str">
        <f t="shared" si="3"/>
        <v>Positive</v>
      </c>
      <c r="P18" s="2" t="s">
        <v>151</v>
      </c>
    </row>
    <row r="19" ht="30" customHeight="1" spans="1:16">
      <c r="A19" s="7">
        <v>44</v>
      </c>
      <c r="B19" s="2" t="s">
        <v>148</v>
      </c>
      <c r="C19" s="2" t="s">
        <v>149</v>
      </c>
      <c r="D19" s="2" t="s">
        <v>144</v>
      </c>
      <c r="E19" s="7">
        <v>20000</v>
      </c>
      <c r="F19" s="7">
        <v>1611583527</v>
      </c>
      <c r="G19" s="6">
        <v>0.40885</v>
      </c>
      <c r="H19" s="6">
        <v>5.21002388621633</v>
      </c>
      <c r="I19" s="6">
        <f t="shared" si="0"/>
        <v>0.0368404322008746</v>
      </c>
      <c r="J19" s="6">
        <f t="shared" si="1"/>
        <v>0.336642752886286</v>
      </c>
      <c r="K19" s="6">
        <f t="shared" si="2"/>
        <v>0.481057247113714</v>
      </c>
      <c r="L19" s="7">
        <v>4759</v>
      </c>
      <c r="M19" s="7">
        <v>3624</v>
      </c>
      <c r="N19" s="7">
        <v>11617</v>
      </c>
      <c r="O19" s="2" t="str">
        <f t="shared" si="3"/>
        <v>Positive</v>
      </c>
      <c r="P19" s="2" t="s">
        <v>151</v>
      </c>
    </row>
    <row r="20" ht="30" customHeight="1" spans="1:16">
      <c r="A20" s="7" t="s">
        <v>152</v>
      </c>
      <c r="B20" s="2" t="s">
        <v>153</v>
      </c>
      <c r="C20" s="2" t="s">
        <v>144</v>
      </c>
      <c r="D20" s="2" t="s">
        <v>135</v>
      </c>
      <c r="E20" s="7">
        <v>20000</v>
      </c>
      <c r="F20" s="7">
        <v>1611583527</v>
      </c>
      <c r="G20" s="6">
        <v>1.406</v>
      </c>
      <c r="H20" s="6">
        <v>4.98130802816726</v>
      </c>
      <c r="I20" s="6">
        <f t="shared" si="0"/>
        <v>0.0352231668589606</v>
      </c>
      <c r="J20" s="6">
        <f t="shared" si="1"/>
        <v>1.33696259295644</v>
      </c>
      <c r="K20" s="6">
        <f t="shared" si="2"/>
        <v>1.47503740704356</v>
      </c>
      <c r="L20" s="7">
        <v>10984</v>
      </c>
      <c r="M20" s="7">
        <v>6146</v>
      </c>
      <c r="N20" s="7">
        <v>2870</v>
      </c>
      <c r="O20" s="2" t="str">
        <f t="shared" si="3"/>
        <v>Positive</v>
      </c>
      <c r="P20" s="2" t="s">
        <v>154</v>
      </c>
    </row>
    <row r="21" ht="30" customHeight="1" spans="1:16">
      <c r="A21" s="7" t="s">
        <v>152</v>
      </c>
      <c r="B21" s="2" t="s">
        <v>155</v>
      </c>
      <c r="C21" s="2" t="s">
        <v>156</v>
      </c>
      <c r="D21" s="2" t="s">
        <v>135</v>
      </c>
      <c r="E21" s="7">
        <v>20000</v>
      </c>
      <c r="F21" s="7">
        <v>1611583527</v>
      </c>
      <c r="G21" s="6">
        <v>2.223</v>
      </c>
      <c r="H21" s="6">
        <v>7.51035227333335</v>
      </c>
      <c r="I21" s="6">
        <f t="shared" si="0"/>
        <v>0.0531062102157382</v>
      </c>
      <c r="J21" s="6">
        <f t="shared" si="1"/>
        <v>2.11891182797715</v>
      </c>
      <c r="K21" s="6">
        <f t="shared" si="2"/>
        <v>2.32708817202285</v>
      </c>
      <c r="L21" s="7">
        <v>10073</v>
      </c>
      <c r="M21" s="7">
        <v>5290</v>
      </c>
      <c r="N21" s="7">
        <v>4637</v>
      </c>
      <c r="O21" s="2" t="str">
        <f t="shared" si="3"/>
        <v>Positive</v>
      </c>
      <c r="P21" s="2" t="s">
        <v>154</v>
      </c>
    </row>
    <row r="22" ht="30" customHeight="1" spans="1:16">
      <c r="A22" s="7" t="s">
        <v>152</v>
      </c>
      <c r="B22" s="2" t="s">
        <v>157</v>
      </c>
      <c r="C22" s="2" t="s">
        <v>158</v>
      </c>
      <c r="D22" s="2" t="s">
        <v>135</v>
      </c>
      <c r="E22" s="7">
        <v>20000</v>
      </c>
      <c r="F22" s="7">
        <v>1611583527</v>
      </c>
      <c r="G22" s="6">
        <v>0.589</v>
      </c>
      <c r="H22" s="6">
        <v>6.14881853679794</v>
      </c>
      <c r="I22" s="6">
        <f t="shared" si="0"/>
        <v>0.0434787128365537</v>
      </c>
      <c r="J22" s="6">
        <f t="shared" si="1"/>
        <v>0.503781722840355</v>
      </c>
      <c r="K22" s="6">
        <f t="shared" si="2"/>
        <v>0.674218277159645</v>
      </c>
      <c r="L22" s="7">
        <v>6740</v>
      </c>
      <c r="M22" s="7">
        <v>5215</v>
      </c>
      <c r="N22" s="7">
        <v>8045</v>
      </c>
      <c r="O22" s="2" t="str">
        <f t="shared" si="3"/>
        <v>Positive</v>
      </c>
      <c r="P22" s="2" t="s">
        <v>154</v>
      </c>
    </row>
  </sheetData>
  <conditionalFormatting sqref="O2:O22">
    <cfRule type="containsText" dxfId="18" priority="1" operator="between" text="Positive">
      <formula>NOT(ISERROR(SEARCH("Positive",O2)))</formula>
    </cfRule>
    <cfRule type="containsText" dxfId="19" priority="2" operator="between" text="Negative">
      <formula>NOT(ISERROR(SEARCH("Negative",O2)))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showGridLines="0" workbookViewId="0">
      <selection activeCell="I37" sqref="A1:I37"/>
    </sheetView>
  </sheetViews>
  <sheetFormatPr defaultColWidth="9" defaultRowHeight="13.8"/>
  <cols>
    <col min="1" max="1" width="8" customWidth="1"/>
    <col min="2" max="2" width="11.3333333333333" customWidth="1"/>
    <col min="3" max="3" width="48.6666666666667" customWidth="1"/>
    <col min="4" max="4" width="14" customWidth="1"/>
    <col min="5" max="5" width="11.3333333333333" customWidth="1"/>
    <col min="6" max="6" width="13.3333333333333" customWidth="1"/>
    <col min="7" max="7" width="17.3333333333333" customWidth="1"/>
    <col min="8" max="8" width="24.6666666666667" customWidth="1"/>
    <col min="9" max="9" width="60" customWidth="1"/>
  </cols>
  <sheetData>
    <row r="1" ht="44" customHeight="1" spans="1:9">
      <c r="A1" s="1" t="s">
        <v>0</v>
      </c>
      <c r="B1" s="1" t="s">
        <v>2</v>
      </c>
      <c r="C1" s="1" t="s">
        <v>159</v>
      </c>
      <c r="D1" s="1" t="s">
        <v>160</v>
      </c>
      <c r="E1" s="1" t="s">
        <v>4</v>
      </c>
      <c r="F1" s="1" t="s">
        <v>161</v>
      </c>
      <c r="G1" s="1" t="s">
        <v>5</v>
      </c>
      <c r="H1" s="1" t="s">
        <v>86</v>
      </c>
      <c r="I1" s="1" t="s">
        <v>15</v>
      </c>
    </row>
    <row r="2" ht="30" customHeight="1" spans="1:9">
      <c r="A2" s="2">
        <v>42</v>
      </c>
      <c r="B2" s="2" t="s">
        <v>17</v>
      </c>
      <c r="C2" s="2" t="s">
        <v>162</v>
      </c>
      <c r="D2" s="6">
        <v>-0.0863680138302365</v>
      </c>
      <c r="E2" s="2">
        <v>2048</v>
      </c>
      <c r="F2" s="2">
        <v>21238</v>
      </c>
      <c r="G2" s="2">
        <v>1611583527</v>
      </c>
      <c r="H2" s="2" t="s">
        <v>163</v>
      </c>
      <c r="I2" s="2" t="s">
        <v>164</v>
      </c>
    </row>
    <row r="3" ht="30" customHeight="1" spans="1:9">
      <c r="A3" s="2">
        <v>42</v>
      </c>
      <c r="B3" s="2" t="s">
        <v>17</v>
      </c>
      <c r="C3" s="2" t="s">
        <v>165</v>
      </c>
      <c r="D3" s="6">
        <v>-0.0139948471987615</v>
      </c>
      <c r="E3" s="2">
        <v>2048</v>
      </c>
      <c r="F3" s="2">
        <v>21238</v>
      </c>
      <c r="G3" s="2">
        <v>1611583527</v>
      </c>
      <c r="H3" s="2" t="s">
        <v>163</v>
      </c>
      <c r="I3" s="2" t="s">
        <v>164</v>
      </c>
    </row>
    <row r="4" ht="30" customHeight="1" spans="1:9">
      <c r="A4" s="2">
        <v>42</v>
      </c>
      <c r="B4" s="2" t="s">
        <v>17</v>
      </c>
      <c r="C4" s="2" t="s">
        <v>166</v>
      </c>
      <c r="D4" s="6">
        <v>-0.0139843676429042</v>
      </c>
      <c r="E4" s="2">
        <v>2048</v>
      </c>
      <c r="F4" s="2">
        <v>21238</v>
      </c>
      <c r="G4" s="2">
        <v>1611583527</v>
      </c>
      <c r="H4" s="2" t="s">
        <v>163</v>
      </c>
      <c r="I4" s="2" t="s">
        <v>164</v>
      </c>
    </row>
    <row r="5" ht="30" customHeight="1" spans="1:9">
      <c r="A5" s="2">
        <v>42</v>
      </c>
      <c r="B5" s="2" t="s">
        <v>17</v>
      </c>
      <c r="C5" s="2" t="s">
        <v>167</v>
      </c>
      <c r="D5" s="6">
        <v>0.00946745562130177</v>
      </c>
      <c r="E5" s="2">
        <v>2048</v>
      </c>
      <c r="F5" s="2">
        <v>21238</v>
      </c>
      <c r="G5" s="2">
        <v>1611583527</v>
      </c>
      <c r="H5" s="2" t="s">
        <v>168</v>
      </c>
      <c r="I5" s="2" t="s">
        <v>164</v>
      </c>
    </row>
    <row r="6" ht="30" customHeight="1" spans="1:9">
      <c r="A6" s="2">
        <v>42</v>
      </c>
      <c r="B6" s="2" t="s">
        <v>21</v>
      </c>
      <c r="C6" s="2" t="s">
        <v>162</v>
      </c>
      <c r="D6" s="6">
        <v>-0.00772239254880758</v>
      </c>
      <c r="E6" s="2">
        <v>2048</v>
      </c>
      <c r="F6" s="2">
        <v>21238</v>
      </c>
      <c r="G6" s="2">
        <v>1611583527</v>
      </c>
      <c r="H6" s="2" t="s">
        <v>163</v>
      </c>
      <c r="I6" s="2" t="s">
        <v>164</v>
      </c>
    </row>
    <row r="7" ht="30" customHeight="1" spans="1:9">
      <c r="A7" s="2">
        <v>42</v>
      </c>
      <c r="B7" s="2" t="s">
        <v>21</v>
      </c>
      <c r="C7" s="2" t="s">
        <v>165</v>
      </c>
      <c r="D7" s="6">
        <v>-0.00506114270445746</v>
      </c>
      <c r="E7" s="2">
        <v>2048</v>
      </c>
      <c r="F7" s="2">
        <v>21238</v>
      </c>
      <c r="G7" s="2">
        <v>1611583527</v>
      </c>
      <c r="H7" s="2" t="s">
        <v>163</v>
      </c>
      <c r="I7" s="2" t="s">
        <v>164</v>
      </c>
    </row>
    <row r="8" ht="30" customHeight="1" spans="1:9">
      <c r="A8" s="2">
        <v>42</v>
      </c>
      <c r="B8" s="2" t="s">
        <v>21</v>
      </c>
      <c r="C8" s="2" t="s">
        <v>166</v>
      </c>
      <c r="D8" s="6">
        <v>-0.00607401826914022</v>
      </c>
      <c r="E8" s="2">
        <v>2048</v>
      </c>
      <c r="F8" s="2">
        <v>21238</v>
      </c>
      <c r="G8" s="2">
        <v>1611583527</v>
      </c>
      <c r="H8" s="2" t="s">
        <v>163</v>
      </c>
      <c r="I8" s="2" t="s">
        <v>164</v>
      </c>
    </row>
    <row r="9" ht="30" customHeight="1" spans="1:9">
      <c r="A9" s="2">
        <v>42</v>
      </c>
      <c r="B9" s="2" t="s">
        <v>21</v>
      </c>
      <c r="C9" s="2" t="s">
        <v>167</v>
      </c>
      <c r="D9" s="6">
        <v>0.00828402366863903</v>
      </c>
      <c r="E9" s="2">
        <v>2048</v>
      </c>
      <c r="F9" s="2">
        <v>21238</v>
      </c>
      <c r="G9" s="2">
        <v>1611583527</v>
      </c>
      <c r="H9" s="2" t="s">
        <v>168</v>
      </c>
      <c r="I9" s="2" t="s">
        <v>164</v>
      </c>
    </row>
    <row r="10" ht="30" customHeight="1" spans="1:9">
      <c r="A10" s="2">
        <v>42</v>
      </c>
      <c r="B10" s="2" t="s">
        <v>23</v>
      </c>
      <c r="C10" s="2" t="s">
        <v>162</v>
      </c>
      <c r="D10" s="6">
        <v>-0.0101149453907844</v>
      </c>
      <c r="E10" s="2">
        <v>2048</v>
      </c>
      <c r="F10" s="2">
        <v>21238</v>
      </c>
      <c r="G10" s="2">
        <v>1611583527</v>
      </c>
      <c r="H10" s="2" t="s">
        <v>163</v>
      </c>
      <c r="I10" s="2" t="s">
        <v>164</v>
      </c>
    </row>
    <row r="11" ht="30" customHeight="1" spans="1:9">
      <c r="A11" s="2">
        <v>42</v>
      </c>
      <c r="B11" s="2" t="s">
        <v>23</v>
      </c>
      <c r="C11" s="2" t="s">
        <v>165</v>
      </c>
      <c r="D11" s="6">
        <v>-0.00656114028633759</v>
      </c>
      <c r="E11" s="2">
        <v>2048</v>
      </c>
      <c r="F11" s="2">
        <v>21238</v>
      </c>
      <c r="G11" s="2">
        <v>1611583527</v>
      </c>
      <c r="H11" s="2" t="s">
        <v>163</v>
      </c>
      <c r="I11" s="2" t="s">
        <v>164</v>
      </c>
    </row>
    <row r="12" ht="30" customHeight="1" spans="1:9">
      <c r="A12" s="2">
        <v>42</v>
      </c>
      <c r="B12" s="2" t="s">
        <v>23</v>
      </c>
      <c r="C12" s="2" t="s">
        <v>166</v>
      </c>
      <c r="D12" s="6">
        <v>-0.0061211036820793</v>
      </c>
      <c r="E12" s="2">
        <v>2048</v>
      </c>
      <c r="F12" s="2">
        <v>21238</v>
      </c>
      <c r="G12" s="2">
        <v>1611583527</v>
      </c>
      <c r="H12" s="2" t="s">
        <v>163</v>
      </c>
      <c r="I12" s="2" t="s">
        <v>164</v>
      </c>
    </row>
    <row r="13" ht="30" customHeight="1" spans="1:9">
      <c r="A13" s="2">
        <v>42</v>
      </c>
      <c r="B13" s="2" t="s">
        <v>23</v>
      </c>
      <c r="C13" s="2" t="s">
        <v>167</v>
      </c>
      <c r="D13" s="6">
        <v>0.00236686390532542</v>
      </c>
      <c r="E13" s="2">
        <v>2048</v>
      </c>
      <c r="F13" s="2">
        <v>21238</v>
      </c>
      <c r="G13" s="2">
        <v>1611583527</v>
      </c>
      <c r="H13" s="2" t="s">
        <v>168</v>
      </c>
      <c r="I13" s="2" t="s">
        <v>164</v>
      </c>
    </row>
    <row r="14" ht="30" customHeight="1" spans="1:9">
      <c r="A14" s="2">
        <v>43</v>
      </c>
      <c r="B14" s="2" t="s">
        <v>17</v>
      </c>
      <c r="C14" s="2" t="s">
        <v>162</v>
      </c>
      <c r="D14" s="6">
        <v>-0.0355633516039884</v>
      </c>
      <c r="E14" s="2">
        <v>2048</v>
      </c>
      <c r="F14" s="2">
        <v>21238</v>
      </c>
      <c r="G14" s="2">
        <v>1611583527</v>
      </c>
      <c r="H14" s="2" t="s">
        <v>163</v>
      </c>
      <c r="I14" s="2" t="s">
        <v>164</v>
      </c>
    </row>
    <row r="15" ht="30" customHeight="1" spans="1:9">
      <c r="A15" s="2">
        <v>43</v>
      </c>
      <c r="B15" s="2" t="s">
        <v>17</v>
      </c>
      <c r="C15" s="2" t="s">
        <v>165</v>
      </c>
      <c r="D15" s="6">
        <v>-0.0108316013125985</v>
      </c>
      <c r="E15" s="2">
        <v>2048</v>
      </c>
      <c r="F15" s="2">
        <v>21238</v>
      </c>
      <c r="G15" s="2">
        <v>1611583527</v>
      </c>
      <c r="H15" s="2" t="s">
        <v>163</v>
      </c>
      <c r="I15" s="2" t="s">
        <v>164</v>
      </c>
    </row>
    <row r="16" ht="30" customHeight="1" spans="1:9">
      <c r="A16" s="2">
        <v>43</v>
      </c>
      <c r="B16" s="2" t="s">
        <v>17</v>
      </c>
      <c r="C16" s="2" t="s">
        <v>166</v>
      </c>
      <c r="D16" s="6">
        <v>-0.0113004991053771</v>
      </c>
      <c r="E16" s="2">
        <v>2048</v>
      </c>
      <c r="F16" s="2">
        <v>21238</v>
      </c>
      <c r="G16" s="2">
        <v>1611583527</v>
      </c>
      <c r="H16" s="2" t="s">
        <v>163</v>
      </c>
      <c r="I16" s="2" t="s">
        <v>164</v>
      </c>
    </row>
    <row r="17" ht="30" customHeight="1" spans="1:9">
      <c r="A17" s="2">
        <v>43</v>
      </c>
      <c r="B17" s="2" t="s">
        <v>17</v>
      </c>
      <c r="C17" s="2" t="s">
        <v>167</v>
      </c>
      <c r="D17" s="6">
        <v>0.0130177514792899</v>
      </c>
      <c r="E17" s="2">
        <v>2048</v>
      </c>
      <c r="F17" s="2">
        <v>21238</v>
      </c>
      <c r="G17" s="2">
        <v>1611583527</v>
      </c>
      <c r="H17" s="2" t="s">
        <v>168</v>
      </c>
      <c r="I17" s="2" t="s">
        <v>164</v>
      </c>
    </row>
    <row r="18" ht="30" customHeight="1" spans="1:9">
      <c r="A18" s="2">
        <v>43</v>
      </c>
      <c r="B18" s="2" t="s">
        <v>21</v>
      </c>
      <c r="C18" s="2" t="s">
        <v>162</v>
      </c>
      <c r="D18" s="6">
        <v>0.0198232614177033</v>
      </c>
      <c r="E18" s="2">
        <v>2048</v>
      </c>
      <c r="F18" s="2">
        <v>21238</v>
      </c>
      <c r="G18" s="2">
        <v>1611583527</v>
      </c>
      <c r="H18" s="2" t="s">
        <v>163</v>
      </c>
      <c r="I18" s="2" t="s">
        <v>164</v>
      </c>
    </row>
    <row r="19" ht="30" customHeight="1" spans="1:9">
      <c r="A19" s="2">
        <v>43</v>
      </c>
      <c r="B19" s="2" t="s">
        <v>21</v>
      </c>
      <c r="C19" s="2" t="s">
        <v>165</v>
      </c>
      <c r="D19" s="6">
        <v>0.00322473814007035</v>
      </c>
      <c r="E19" s="2">
        <v>2048</v>
      </c>
      <c r="F19" s="2">
        <v>21238</v>
      </c>
      <c r="G19" s="2">
        <v>1611583527</v>
      </c>
      <c r="H19" s="2" t="s">
        <v>163</v>
      </c>
      <c r="I19" s="2" t="s">
        <v>164</v>
      </c>
    </row>
    <row r="20" ht="30" customHeight="1" spans="1:9">
      <c r="A20" s="2">
        <v>43</v>
      </c>
      <c r="B20" s="2" t="s">
        <v>21</v>
      </c>
      <c r="C20" s="2" t="s">
        <v>166</v>
      </c>
      <c r="D20" s="6">
        <v>0.00447311422921179</v>
      </c>
      <c r="E20" s="2">
        <v>2048</v>
      </c>
      <c r="F20" s="2">
        <v>21238</v>
      </c>
      <c r="G20" s="2">
        <v>1611583527</v>
      </c>
      <c r="H20" s="2" t="s">
        <v>163</v>
      </c>
      <c r="I20" s="2" t="s">
        <v>164</v>
      </c>
    </row>
    <row r="21" ht="30" customHeight="1" spans="1:9">
      <c r="A21" s="2">
        <v>43</v>
      </c>
      <c r="B21" s="2" t="s">
        <v>21</v>
      </c>
      <c r="C21" s="2" t="s">
        <v>167</v>
      </c>
      <c r="D21" s="6">
        <v>0.0130177514792899</v>
      </c>
      <c r="E21" s="2">
        <v>2048</v>
      </c>
      <c r="F21" s="2">
        <v>21238</v>
      </c>
      <c r="G21" s="2">
        <v>1611583527</v>
      </c>
      <c r="H21" s="2" t="s">
        <v>168</v>
      </c>
      <c r="I21" s="2" t="s">
        <v>164</v>
      </c>
    </row>
    <row r="22" ht="30" customHeight="1" spans="1:9">
      <c r="A22" s="2">
        <v>43</v>
      </c>
      <c r="B22" s="2" t="s">
        <v>23</v>
      </c>
      <c r="C22" s="2" t="s">
        <v>162</v>
      </c>
      <c r="D22" s="6">
        <v>0.0321336144556382</v>
      </c>
      <c r="E22" s="2">
        <v>2048</v>
      </c>
      <c r="F22" s="2">
        <v>21238</v>
      </c>
      <c r="G22" s="2">
        <v>1611583527</v>
      </c>
      <c r="H22" s="2" t="s">
        <v>163</v>
      </c>
      <c r="I22" s="2" t="s">
        <v>164</v>
      </c>
    </row>
    <row r="23" ht="30" customHeight="1" spans="1:9">
      <c r="A23" s="2">
        <v>43</v>
      </c>
      <c r="B23" s="2" t="s">
        <v>23</v>
      </c>
      <c r="C23" s="2" t="s">
        <v>165</v>
      </c>
      <c r="D23" s="6">
        <v>0.00312033961462388</v>
      </c>
      <c r="E23" s="2">
        <v>2048</v>
      </c>
      <c r="F23" s="2">
        <v>21238</v>
      </c>
      <c r="G23" s="2">
        <v>1611583527</v>
      </c>
      <c r="H23" s="2" t="s">
        <v>163</v>
      </c>
      <c r="I23" s="2" t="s">
        <v>164</v>
      </c>
    </row>
    <row r="24" ht="30" customHeight="1" spans="1:9">
      <c r="A24" s="2">
        <v>43</v>
      </c>
      <c r="B24" s="2" t="s">
        <v>23</v>
      </c>
      <c r="C24" s="2" t="s">
        <v>166</v>
      </c>
      <c r="D24" s="6">
        <v>0.00390808927394293</v>
      </c>
      <c r="E24" s="2">
        <v>2048</v>
      </c>
      <c r="F24" s="2">
        <v>21238</v>
      </c>
      <c r="G24" s="2">
        <v>1611583527</v>
      </c>
      <c r="H24" s="2" t="s">
        <v>163</v>
      </c>
      <c r="I24" s="2" t="s">
        <v>164</v>
      </c>
    </row>
    <row r="25" ht="30" customHeight="1" spans="1:9">
      <c r="A25" s="2">
        <v>43</v>
      </c>
      <c r="B25" s="2" t="s">
        <v>23</v>
      </c>
      <c r="C25" s="2" t="s">
        <v>167</v>
      </c>
      <c r="D25" s="6">
        <v>-0.00236686390532545</v>
      </c>
      <c r="E25" s="2">
        <v>2048</v>
      </c>
      <c r="F25" s="2">
        <v>21238</v>
      </c>
      <c r="G25" s="2">
        <v>1611583527</v>
      </c>
      <c r="H25" s="2" t="s">
        <v>168</v>
      </c>
      <c r="I25" s="2" t="s">
        <v>164</v>
      </c>
    </row>
    <row r="26" ht="30" customHeight="1" spans="1:9">
      <c r="A26" s="2">
        <v>44</v>
      </c>
      <c r="B26" s="2" t="s">
        <v>17</v>
      </c>
      <c r="C26" s="2" t="s">
        <v>162</v>
      </c>
      <c r="D26" s="6">
        <v>-0.0489018555599973</v>
      </c>
      <c r="E26" s="2">
        <v>2048</v>
      </c>
      <c r="F26" s="2">
        <v>21238</v>
      </c>
      <c r="G26" s="2">
        <v>1611583527</v>
      </c>
      <c r="H26" s="2" t="s">
        <v>163</v>
      </c>
      <c r="I26" s="2" t="s">
        <v>164</v>
      </c>
    </row>
    <row r="27" ht="30" customHeight="1" spans="1:9">
      <c r="A27" s="2">
        <v>44</v>
      </c>
      <c r="B27" s="2" t="s">
        <v>17</v>
      </c>
      <c r="C27" s="2" t="s">
        <v>165</v>
      </c>
      <c r="D27" s="6">
        <v>-0.00964792522571273</v>
      </c>
      <c r="E27" s="2">
        <v>2048</v>
      </c>
      <c r="F27" s="2">
        <v>21238</v>
      </c>
      <c r="G27" s="2">
        <v>1611583527</v>
      </c>
      <c r="H27" s="2" t="s">
        <v>163</v>
      </c>
      <c r="I27" s="2" t="s">
        <v>164</v>
      </c>
    </row>
    <row r="28" ht="30" customHeight="1" spans="1:9">
      <c r="A28" s="2">
        <v>44</v>
      </c>
      <c r="B28" s="2" t="s">
        <v>17</v>
      </c>
      <c r="C28" s="2" t="s">
        <v>166</v>
      </c>
      <c r="D28" s="6">
        <v>-0.00951125341369244</v>
      </c>
      <c r="E28" s="2">
        <v>2048</v>
      </c>
      <c r="F28" s="2">
        <v>21238</v>
      </c>
      <c r="G28" s="2">
        <v>1611583527</v>
      </c>
      <c r="H28" s="2" t="s">
        <v>163</v>
      </c>
      <c r="I28" s="2" t="s">
        <v>164</v>
      </c>
    </row>
    <row r="29" ht="30" customHeight="1" spans="1:9">
      <c r="A29" s="2">
        <v>44</v>
      </c>
      <c r="B29" s="2" t="s">
        <v>17</v>
      </c>
      <c r="C29" s="2" t="s">
        <v>167</v>
      </c>
      <c r="D29" s="6">
        <v>0.0047337278106509</v>
      </c>
      <c r="E29" s="2">
        <v>2048</v>
      </c>
      <c r="F29" s="2">
        <v>21238</v>
      </c>
      <c r="G29" s="2">
        <v>1611583527</v>
      </c>
      <c r="H29" s="2" t="s">
        <v>168</v>
      </c>
      <c r="I29" s="2" t="s">
        <v>164</v>
      </c>
    </row>
    <row r="30" ht="30" customHeight="1" spans="1:9">
      <c r="A30" s="2">
        <v>44</v>
      </c>
      <c r="B30" s="2" t="s">
        <v>21</v>
      </c>
      <c r="C30" s="2" t="s">
        <v>162</v>
      </c>
      <c r="D30" s="6">
        <v>0.0105602027452825</v>
      </c>
      <c r="E30" s="2">
        <v>2048</v>
      </c>
      <c r="F30" s="2">
        <v>21238</v>
      </c>
      <c r="G30" s="2">
        <v>1611583527</v>
      </c>
      <c r="H30" s="2" t="s">
        <v>163</v>
      </c>
      <c r="I30" s="2" t="s">
        <v>164</v>
      </c>
    </row>
    <row r="31" ht="30" customHeight="1" spans="1:9">
      <c r="A31" s="2">
        <v>44</v>
      </c>
      <c r="B31" s="2" t="s">
        <v>21</v>
      </c>
      <c r="C31" s="2" t="s">
        <v>165</v>
      </c>
      <c r="D31" s="6">
        <v>0.00213730521604219</v>
      </c>
      <c r="E31" s="2">
        <v>2048</v>
      </c>
      <c r="F31" s="2">
        <v>21238</v>
      </c>
      <c r="G31" s="2">
        <v>1611583527</v>
      </c>
      <c r="H31" s="2" t="s">
        <v>163</v>
      </c>
      <c r="I31" s="2" t="s">
        <v>164</v>
      </c>
    </row>
    <row r="32" ht="30" customHeight="1" spans="1:9">
      <c r="A32" s="2">
        <v>44</v>
      </c>
      <c r="B32" s="2" t="s">
        <v>21</v>
      </c>
      <c r="C32" s="2" t="s">
        <v>166</v>
      </c>
      <c r="D32" s="6">
        <v>0.00230718523401452</v>
      </c>
      <c r="E32" s="2">
        <v>2048</v>
      </c>
      <c r="F32" s="2">
        <v>21238</v>
      </c>
      <c r="G32" s="2">
        <v>1611583527</v>
      </c>
      <c r="H32" s="2" t="s">
        <v>163</v>
      </c>
      <c r="I32" s="2" t="s">
        <v>164</v>
      </c>
    </row>
    <row r="33" ht="30" customHeight="1" spans="1:9">
      <c r="A33" s="2">
        <v>44</v>
      </c>
      <c r="B33" s="2" t="s">
        <v>21</v>
      </c>
      <c r="C33" s="2" t="s">
        <v>167</v>
      </c>
      <c r="D33" s="6">
        <v>0.00236686390532545</v>
      </c>
      <c r="E33" s="2">
        <v>2048</v>
      </c>
      <c r="F33" s="2">
        <v>21238</v>
      </c>
      <c r="G33" s="2">
        <v>1611583527</v>
      </c>
      <c r="H33" s="2" t="s">
        <v>168</v>
      </c>
      <c r="I33" s="2" t="s">
        <v>164</v>
      </c>
    </row>
    <row r="34" ht="30" customHeight="1" spans="1:9">
      <c r="A34" s="2">
        <v>44</v>
      </c>
      <c r="B34" s="2" t="s">
        <v>23</v>
      </c>
      <c r="C34" s="2" t="s">
        <v>162</v>
      </c>
      <c r="D34" s="6">
        <v>0.00946955813371286</v>
      </c>
      <c r="E34" s="2">
        <v>2048</v>
      </c>
      <c r="F34" s="2">
        <v>21238</v>
      </c>
      <c r="G34" s="2">
        <v>1611583527</v>
      </c>
      <c r="H34" s="2" t="s">
        <v>163</v>
      </c>
      <c r="I34" s="2" t="s">
        <v>164</v>
      </c>
    </row>
    <row r="35" ht="30" customHeight="1" spans="1:9">
      <c r="A35" s="2">
        <v>44</v>
      </c>
      <c r="B35" s="2" t="s">
        <v>23</v>
      </c>
      <c r="C35" s="2" t="s">
        <v>165</v>
      </c>
      <c r="D35" s="6">
        <v>0.00131236186842465</v>
      </c>
      <c r="E35" s="2">
        <v>2048</v>
      </c>
      <c r="F35" s="2">
        <v>21238</v>
      </c>
      <c r="G35" s="2">
        <v>1611583527</v>
      </c>
      <c r="H35" s="2" t="s">
        <v>163</v>
      </c>
      <c r="I35" s="2" t="s">
        <v>164</v>
      </c>
    </row>
    <row r="36" ht="30" customHeight="1" spans="1:9">
      <c r="A36" s="2">
        <v>44</v>
      </c>
      <c r="B36" s="2" t="s">
        <v>23</v>
      </c>
      <c r="C36" s="2" t="s">
        <v>166</v>
      </c>
      <c r="D36" s="6">
        <v>0.00357849138336944</v>
      </c>
      <c r="E36" s="2">
        <v>2048</v>
      </c>
      <c r="F36" s="2">
        <v>21238</v>
      </c>
      <c r="G36" s="2">
        <v>1611583527</v>
      </c>
      <c r="H36" s="2" t="s">
        <v>163</v>
      </c>
      <c r="I36" s="2" t="s">
        <v>164</v>
      </c>
    </row>
    <row r="37" ht="30" customHeight="1" spans="1:9">
      <c r="A37" s="2">
        <v>44</v>
      </c>
      <c r="B37" s="2" t="s">
        <v>23</v>
      </c>
      <c r="C37" s="2" t="s">
        <v>167</v>
      </c>
      <c r="D37" s="6">
        <v>-0.0130177514792899</v>
      </c>
      <c r="E37" s="2">
        <v>2048</v>
      </c>
      <c r="F37" s="2">
        <v>21238</v>
      </c>
      <c r="G37" s="2">
        <v>1611583527</v>
      </c>
      <c r="H37" s="2" t="s">
        <v>168</v>
      </c>
      <c r="I37" s="2" t="s">
        <v>164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workbookViewId="0">
      <selection activeCell="G13" sqref="G13"/>
    </sheetView>
  </sheetViews>
  <sheetFormatPr defaultColWidth="9" defaultRowHeight="13.8"/>
  <cols>
    <col min="1" max="1" width="13.3333333333333" customWidth="1"/>
    <col min="2" max="2" width="8.66666666666667" customWidth="1"/>
    <col min="3" max="4" width="11.3333333333333" customWidth="1"/>
    <col min="5" max="5" width="14.6666666666667" customWidth="1"/>
    <col min="6" max="6" width="15.3333333333333" customWidth="1"/>
    <col min="7" max="7" width="13.3333333333333" customWidth="1"/>
    <col min="8" max="8" width="14.6666666666667" customWidth="1"/>
    <col min="9" max="9" width="18.6666666666667" customWidth="1"/>
    <col min="10" max="10" width="12" customWidth="1"/>
    <col min="11" max="11" width="56" customWidth="1"/>
  </cols>
  <sheetData>
    <row r="1" ht="44" customHeight="1" spans="1:11">
      <c r="A1" s="1" t="s">
        <v>169</v>
      </c>
      <c r="B1" s="1" t="s">
        <v>34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15</v>
      </c>
    </row>
    <row r="2" ht="30" customHeight="1" spans="1:11">
      <c r="A2" s="2">
        <v>42</v>
      </c>
      <c r="B2" s="2">
        <v>100</v>
      </c>
      <c r="C2" s="2">
        <v>0</v>
      </c>
      <c r="D2" s="2" t="s">
        <v>21</v>
      </c>
      <c r="E2" s="3">
        <v>0.878268706256028</v>
      </c>
      <c r="F2" s="3">
        <v>0.0113951191662163</v>
      </c>
      <c r="G2" s="4">
        <f t="shared" ref="G2:G9" si="0">F2/E2</f>
        <v>0.0129745248635723</v>
      </c>
      <c r="H2" s="5">
        <v>0.023257149486046</v>
      </c>
      <c r="I2" s="2">
        <v>2026072201</v>
      </c>
      <c r="J2" s="2">
        <v>1024</v>
      </c>
      <c r="K2" s="2" t="s">
        <v>178</v>
      </c>
    </row>
    <row r="3" ht="30" customHeight="1" spans="1:11">
      <c r="A3" s="2">
        <v>42</v>
      </c>
      <c r="B3" s="2">
        <v>100</v>
      </c>
      <c r="C3" s="2">
        <v>0</v>
      </c>
      <c r="D3" s="2" t="s">
        <v>23</v>
      </c>
      <c r="E3" s="3">
        <v>0.878268706256028</v>
      </c>
      <c r="F3" s="3">
        <v>0.015155655016888</v>
      </c>
      <c r="G3" s="4">
        <f t="shared" si="0"/>
        <v>0.0172562849033925</v>
      </c>
      <c r="H3" s="5">
        <v>0.0382360539711448</v>
      </c>
      <c r="I3" s="2">
        <v>2026072201</v>
      </c>
      <c r="J3" s="2">
        <v>1024</v>
      </c>
      <c r="K3" s="2" t="s">
        <v>178</v>
      </c>
    </row>
    <row r="4" ht="30" customHeight="1" spans="1:11">
      <c r="A4" s="2">
        <v>42</v>
      </c>
      <c r="B4" s="2">
        <v>100</v>
      </c>
      <c r="C4" s="2">
        <v>1</v>
      </c>
      <c r="D4" s="2" t="s">
        <v>21</v>
      </c>
      <c r="E4" s="3">
        <v>0.944260763580624</v>
      </c>
      <c r="F4" s="3">
        <v>0.0145822610152084</v>
      </c>
      <c r="G4" s="4">
        <f t="shared" si="0"/>
        <v>0.0154430445250236</v>
      </c>
      <c r="H4" s="5">
        <v>0.0730405833991882</v>
      </c>
      <c r="I4" s="2">
        <v>2026072201</v>
      </c>
      <c r="J4" s="2">
        <v>1024</v>
      </c>
      <c r="K4" s="2" t="s">
        <v>178</v>
      </c>
    </row>
    <row r="5" ht="30" customHeight="1" spans="1:11">
      <c r="A5" s="2">
        <v>42</v>
      </c>
      <c r="B5" s="2">
        <v>100</v>
      </c>
      <c r="C5" s="2">
        <v>1</v>
      </c>
      <c r="D5" s="2" t="s">
        <v>23</v>
      </c>
      <c r="E5" s="3">
        <v>0.944260763580624</v>
      </c>
      <c r="F5" s="3">
        <v>0.0191035261856361</v>
      </c>
      <c r="G5" s="4">
        <f t="shared" si="0"/>
        <v>0.0202311976971232</v>
      </c>
      <c r="H5" s="5">
        <v>0.0277918167192354</v>
      </c>
      <c r="I5" s="2">
        <v>2026072201</v>
      </c>
      <c r="J5" s="2">
        <v>1024</v>
      </c>
      <c r="K5" s="2" t="s">
        <v>178</v>
      </c>
    </row>
    <row r="6" ht="30" customHeight="1" spans="1:11">
      <c r="A6" s="2">
        <v>42</v>
      </c>
      <c r="B6" s="2">
        <v>100</v>
      </c>
      <c r="C6" s="2">
        <v>2</v>
      </c>
      <c r="D6" s="2" t="s">
        <v>21</v>
      </c>
      <c r="E6" s="3">
        <v>0.874407512938473</v>
      </c>
      <c r="F6" s="3">
        <v>0.0137698819166965</v>
      </c>
      <c r="G6" s="4">
        <f t="shared" si="0"/>
        <v>0.0157476710949365</v>
      </c>
      <c r="H6" s="5">
        <v>0.157881633579819</v>
      </c>
      <c r="I6" s="2">
        <v>2026072201</v>
      </c>
      <c r="J6" s="2">
        <v>1024</v>
      </c>
      <c r="K6" s="2" t="s">
        <v>178</v>
      </c>
    </row>
    <row r="7" ht="30" customHeight="1" spans="1:11">
      <c r="A7" s="2">
        <v>42</v>
      </c>
      <c r="B7" s="2">
        <v>100</v>
      </c>
      <c r="C7" s="2">
        <v>2</v>
      </c>
      <c r="D7" s="2" t="s">
        <v>23</v>
      </c>
      <c r="E7" s="3">
        <v>0.874407512938473</v>
      </c>
      <c r="F7" s="3">
        <v>0.0120508595213337</v>
      </c>
      <c r="G7" s="4">
        <f t="shared" si="0"/>
        <v>0.0137817428864906</v>
      </c>
      <c r="H7" s="5">
        <v>0.0730786777073154</v>
      </c>
      <c r="I7" s="2">
        <v>2026072201</v>
      </c>
      <c r="J7" s="2">
        <v>1024</v>
      </c>
      <c r="K7" s="2" t="s">
        <v>178</v>
      </c>
    </row>
    <row r="8" ht="30" customHeight="1" spans="1:11">
      <c r="A8" s="2">
        <v>42</v>
      </c>
      <c r="B8" s="2">
        <v>100</v>
      </c>
      <c r="C8" s="2">
        <v>3</v>
      </c>
      <c r="D8" s="2" t="s">
        <v>21</v>
      </c>
      <c r="E8" s="3">
        <v>0.813183830029325</v>
      </c>
      <c r="F8" s="3">
        <v>0.0139368528559645</v>
      </c>
      <c r="G8" s="4">
        <f t="shared" si="0"/>
        <v>0.0171386251685082</v>
      </c>
      <c r="H8" s="5">
        <v>-0.110978690561744</v>
      </c>
      <c r="I8" s="2">
        <v>2026072201</v>
      </c>
      <c r="J8" s="2">
        <v>1024</v>
      </c>
      <c r="K8" s="2" t="s">
        <v>178</v>
      </c>
    </row>
    <row r="9" ht="30" customHeight="1" spans="1:11">
      <c r="A9" s="2">
        <v>42</v>
      </c>
      <c r="B9" s="2">
        <v>100</v>
      </c>
      <c r="C9" s="2">
        <v>3</v>
      </c>
      <c r="D9" s="2" t="s">
        <v>23</v>
      </c>
      <c r="E9" s="3">
        <v>0.813183830029325</v>
      </c>
      <c r="F9" s="3">
        <v>0.016230054451775</v>
      </c>
      <c r="G9" s="4">
        <f t="shared" si="0"/>
        <v>0.0199586536923511</v>
      </c>
      <c r="H9" s="5">
        <v>0.0313716497774828</v>
      </c>
      <c r="I9" s="2">
        <v>2026072201</v>
      </c>
      <c r="J9" s="2">
        <v>1024</v>
      </c>
      <c r="K9" s="2" t="s">
        <v>178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Round100 Primary</vt:lpstr>
      <vt:lpstr>Round120 Continuation</vt:lpstr>
      <vt:lpstr>Model Manifest</vt:lpstr>
      <vt:lpstr>Evaluation Protocol</vt:lpstr>
      <vt:lpstr>Aligned Proxy Diagnostics</vt:lpstr>
      <vt:lpstr>Round100 Pairwise</vt:lpstr>
      <vt:lpstr>External Crossplay</vt:lpstr>
      <vt:lpstr>Shared Partner Crossplay</vt:lpstr>
      <vt:lpstr>Semantic Drift</vt:lpstr>
      <vt:lpstr>Gradient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30813</cp:lastModifiedBy>
  <dcterms:created xsi:type="dcterms:W3CDTF">2026-09-02T19:31:37Z</dcterms:created>
  <dcterms:modified xsi:type="dcterms:W3CDTF">2026-09-02T19:36:51Z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